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2026-05" sheetId="70" r:id="rId1"/>
    <sheet name="2026-04" sheetId="69" r:id="rId2"/>
    <sheet name="2026-03" sheetId="68" r:id="rId3"/>
    <sheet name="2026-02" sheetId="67" r:id="rId4"/>
    <sheet name="2026-01" sheetId="6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4" authorId="0">
      <text>
        <r>
          <rPr>
            <b/>
            <sz val="9"/>
            <rFont val="宋体"/>
            <charset val="134"/>
          </rPr>
          <t>20200929入职</t>
        </r>
        <r>
          <rPr>
            <sz val="9"/>
            <rFont val="宋体"/>
            <charset val="134"/>
          </rPr>
          <t xml:space="preserve">
2021年4月调薪
2022年3月调薪</t>
        </r>
      </text>
    </commen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9月调薪
2022年3月调薪
</t>
        </r>
      </text>
    </comment>
    <comment ref="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2022年3月调薪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4" authorId="0">
      <text>
        <r>
          <rPr>
            <b/>
            <sz val="9"/>
            <rFont val="宋体"/>
            <charset val="134"/>
          </rPr>
          <t>20200929入职</t>
        </r>
        <r>
          <rPr>
            <sz val="9"/>
            <rFont val="宋体"/>
            <charset val="134"/>
          </rPr>
          <t xml:space="preserve">
2021年4月调薪
2022年3月调薪</t>
        </r>
      </text>
    </commen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9月调薪
2022年3月调薪
</t>
        </r>
      </text>
    </comment>
    <comment ref="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2022年3月调薪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4" authorId="0">
      <text>
        <r>
          <rPr>
            <b/>
            <sz val="9"/>
            <rFont val="宋体"/>
            <charset val="134"/>
          </rPr>
          <t>20200929入职</t>
        </r>
        <r>
          <rPr>
            <sz val="9"/>
            <rFont val="宋体"/>
            <charset val="134"/>
          </rPr>
          <t xml:space="preserve">
2021年4月调薪
2022年3月调薪</t>
        </r>
      </text>
    </commen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9月调薪
2022年3月调薪
</t>
        </r>
      </text>
    </comment>
    <comment ref="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2022年3月调薪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A4" authorId="0">
      <text>
        <r>
          <rPr>
            <b/>
            <sz val="9"/>
            <rFont val="宋体"/>
            <charset val="134"/>
          </rPr>
          <t>20200929入职</t>
        </r>
        <r>
          <rPr>
            <sz val="9"/>
            <rFont val="宋体"/>
            <charset val="134"/>
          </rPr>
          <t xml:space="preserve">
2021年4月调薪
2022年3月调薪</t>
        </r>
      </text>
    </commen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9月调薪
2022年3月调薪
</t>
        </r>
      </text>
    </comment>
    <comment ref="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2022年3月调薪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A4" authorId="0">
      <text>
        <r>
          <rPr>
            <b/>
            <sz val="9"/>
            <rFont val="宋体"/>
            <charset val="134"/>
          </rPr>
          <t>20200929入职</t>
        </r>
        <r>
          <rPr>
            <sz val="9"/>
            <rFont val="宋体"/>
            <charset val="134"/>
          </rPr>
          <t xml:space="preserve">
2021年4月调薪
2022年3月调薪</t>
        </r>
      </text>
    </commen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9月调薪
2022年3月调薪
</t>
        </r>
      </text>
    </comment>
    <comment ref="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2022年3月调薪</t>
        </r>
      </text>
    </comment>
  </commentList>
</comments>
</file>

<file path=xl/sharedStrings.xml><?xml version="1.0" encoding="utf-8"?>
<sst xmlns="http://schemas.openxmlformats.org/spreadsheetml/2006/main" count="269" uniqueCount="102">
  <si>
    <r>
      <rPr>
        <b/>
        <sz val="12"/>
        <color rgb="FF000000"/>
        <rFont val="Calibri"/>
        <charset val="134"/>
      </rPr>
      <t>2026</t>
    </r>
    <r>
      <rPr>
        <b/>
        <sz val="12"/>
        <color rgb="FF000000"/>
        <rFont val="宋体"/>
        <charset val="134"/>
      </rPr>
      <t>年</t>
    </r>
    <r>
      <rPr>
        <b/>
        <sz val="12"/>
        <color rgb="FF000000"/>
        <rFont val="Calibri"/>
        <charset val="134"/>
      </rPr>
      <t>05</t>
    </r>
    <r>
      <rPr>
        <b/>
        <sz val="12"/>
        <color rgb="FF000000"/>
        <rFont val="宋体"/>
        <charset val="134"/>
      </rPr>
      <t>月工资</t>
    </r>
    <r>
      <rPr>
        <b/>
        <sz val="12"/>
        <color rgb="FF000000"/>
        <rFont val="Calibri"/>
        <charset val="134"/>
      </rPr>
      <t>--TECH ALLIANCE</t>
    </r>
  </si>
  <si>
    <r>
      <rPr>
        <b/>
        <sz val="12"/>
        <rFont val="宋体"/>
        <charset val="134"/>
      </rPr>
      <t>（备注：工资发放日为次月</t>
    </r>
    <r>
      <rPr>
        <b/>
        <sz val="12"/>
        <rFont val="Calibri"/>
        <charset val="134"/>
      </rPr>
      <t>10</t>
    </r>
    <r>
      <rPr>
        <b/>
        <sz val="12"/>
        <rFont val="宋体"/>
        <charset val="134"/>
      </rPr>
      <t>日）</t>
    </r>
  </si>
  <si>
    <r>
      <rPr>
        <b/>
        <sz val="12"/>
        <color rgb="FF000000"/>
        <rFont val="宋体"/>
        <charset val="134"/>
      </rPr>
      <t>员工姓名</t>
    </r>
  </si>
  <si>
    <r>
      <rPr>
        <b/>
        <sz val="12"/>
        <color rgb="FF000000"/>
        <rFont val="宋体"/>
        <charset val="134"/>
      </rPr>
      <t>满勤</t>
    </r>
    <r>
      <rPr>
        <b/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宋体"/>
        <charset val="134"/>
      </rPr>
      <t>天数</t>
    </r>
  </si>
  <si>
    <r>
      <rPr>
        <b/>
        <sz val="12"/>
        <color indexed="8"/>
        <rFont val="宋体"/>
        <charset val="134"/>
      </rPr>
      <t>出勤</t>
    </r>
    <r>
      <rPr>
        <b/>
        <sz val="12"/>
        <color indexed="8"/>
        <rFont val="Calibri"/>
        <charset val="134"/>
      </rPr>
      <t xml:space="preserve">
</t>
    </r>
    <r>
      <rPr>
        <b/>
        <sz val="12"/>
        <color indexed="8"/>
        <rFont val="宋体"/>
        <charset val="134"/>
      </rPr>
      <t>天数</t>
    </r>
  </si>
  <si>
    <r>
      <rPr>
        <b/>
        <sz val="12"/>
        <color indexed="8"/>
        <rFont val="宋体"/>
        <charset val="134"/>
      </rPr>
      <t>事假</t>
    </r>
  </si>
  <si>
    <r>
      <rPr>
        <b/>
        <sz val="12"/>
        <color rgb="FF000000"/>
        <rFont val="宋体"/>
        <charset val="134"/>
      </rPr>
      <t>年假</t>
    </r>
  </si>
  <si>
    <r>
      <rPr>
        <b/>
        <sz val="12"/>
        <color indexed="8"/>
        <rFont val="宋体"/>
        <charset val="134"/>
      </rPr>
      <t>病假</t>
    </r>
  </si>
  <si>
    <r>
      <rPr>
        <b/>
        <sz val="12"/>
        <color indexed="8"/>
        <rFont val="宋体"/>
        <charset val="134"/>
      </rPr>
      <t>其他</t>
    </r>
  </si>
  <si>
    <r>
      <rPr>
        <b/>
        <sz val="12"/>
        <color indexed="8"/>
        <rFont val="宋体"/>
        <charset val="134"/>
      </rPr>
      <t>基本</t>
    </r>
    <r>
      <rPr>
        <b/>
        <sz val="12"/>
        <color indexed="8"/>
        <rFont val="Calibri"/>
        <charset val="134"/>
      </rPr>
      <t xml:space="preserve">
</t>
    </r>
    <r>
      <rPr>
        <b/>
        <sz val="12"/>
        <color indexed="8"/>
        <rFont val="宋体"/>
        <charset val="134"/>
      </rPr>
      <t>工资</t>
    </r>
  </si>
  <si>
    <r>
      <rPr>
        <b/>
        <sz val="12"/>
        <color indexed="8"/>
        <rFont val="宋体"/>
        <charset val="134"/>
      </rPr>
      <t>职位</t>
    </r>
    <r>
      <rPr>
        <b/>
        <sz val="12"/>
        <color indexed="8"/>
        <rFont val="Calibri"/>
        <charset val="134"/>
      </rPr>
      <t xml:space="preserve">
</t>
    </r>
    <r>
      <rPr>
        <b/>
        <sz val="12"/>
        <color indexed="8"/>
        <rFont val="宋体"/>
        <charset val="134"/>
      </rPr>
      <t>津贴</t>
    </r>
  </si>
  <si>
    <r>
      <rPr>
        <b/>
        <sz val="12"/>
        <color indexed="8"/>
        <rFont val="宋体"/>
        <charset val="134"/>
      </rPr>
      <t>出勤</t>
    </r>
    <r>
      <rPr>
        <b/>
        <sz val="12"/>
        <color indexed="8"/>
        <rFont val="Calibri"/>
        <charset val="134"/>
      </rPr>
      <t xml:space="preserve">
</t>
    </r>
    <r>
      <rPr>
        <b/>
        <sz val="12"/>
        <color indexed="8"/>
        <rFont val="宋体"/>
        <charset val="134"/>
      </rPr>
      <t>工资</t>
    </r>
  </si>
  <si>
    <r>
      <rPr>
        <b/>
        <sz val="12"/>
        <color rgb="FF000000"/>
        <rFont val="宋体"/>
        <charset val="134"/>
      </rPr>
      <t>病假</t>
    </r>
    <r>
      <rPr>
        <b/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宋体"/>
        <charset val="134"/>
      </rPr>
      <t>工资</t>
    </r>
  </si>
  <si>
    <r>
      <rPr>
        <b/>
        <sz val="12"/>
        <color rgb="FF000000"/>
        <rFont val="宋体"/>
        <charset val="134"/>
      </rPr>
      <t>全勤</t>
    </r>
  </si>
  <si>
    <r>
      <rPr>
        <b/>
        <sz val="12"/>
        <color rgb="FF000000"/>
        <rFont val="宋体"/>
        <charset val="134"/>
      </rPr>
      <t>加</t>
    </r>
    <r>
      <rPr>
        <b/>
        <sz val="12"/>
        <color rgb="FF000000"/>
        <rFont val="Calibri"/>
        <charset val="134"/>
      </rPr>
      <t xml:space="preserve">
(</t>
    </r>
    <r>
      <rPr>
        <b/>
        <sz val="12"/>
        <color rgb="FF000000"/>
        <rFont val="宋体"/>
        <charset val="134"/>
      </rPr>
      <t>其他）</t>
    </r>
  </si>
  <si>
    <r>
      <rPr>
        <b/>
        <sz val="12"/>
        <color rgb="FF000000"/>
        <rFont val="宋体"/>
        <charset val="134"/>
      </rPr>
      <t>扣</t>
    </r>
    <r>
      <rPr>
        <b/>
        <sz val="12"/>
        <color rgb="FF000000"/>
        <rFont val="Calibri"/>
        <charset val="134"/>
      </rPr>
      <t xml:space="preserve">
(</t>
    </r>
    <r>
      <rPr>
        <b/>
        <sz val="12"/>
        <color rgb="FF000000"/>
        <rFont val="宋体"/>
        <charset val="134"/>
      </rPr>
      <t>保险）</t>
    </r>
  </si>
  <si>
    <r>
      <rPr>
        <b/>
        <sz val="12"/>
        <color rgb="FF000000"/>
        <rFont val="宋体"/>
        <charset val="134"/>
      </rPr>
      <t>扣</t>
    </r>
    <r>
      <rPr>
        <b/>
        <sz val="12"/>
        <color rgb="FF000000"/>
        <rFont val="Calibri"/>
        <charset val="134"/>
      </rPr>
      <t xml:space="preserve">
(</t>
    </r>
    <r>
      <rPr>
        <b/>
        <sz val="12"/>
        <color rgb="FF000000"/>
        <rFont val="宋体"/>
        <charset val="134"/>
      </rPr>
      <t>个税）</t>
    </r>
  </si>
  <si>
    <r>
      <rPr>
        <b/>
        <sz val="12"/>
        <color rgb="FF000000"/>
        <rFont val="宋体"/>
        <charset val="134"/>
      </rPr>
      <t>扣</t>
    </r>
    <r>
      <rPr>
        <b/>
        <sz val="12"/>
        <color rgb="FF000000"/>
        <rFont val="Calibri"/>
        <charset val="134"/>
      </rPr>
      <t xml:space="preserve">
(</t>
    </r>
    <r>
      <rPr>
        <b/>
        <sz val="12"/>
        <color rgb="FF000000"/>
        <rFont val="宋体"/>
        <charset val="134"/>
      </rPr>
      <t>其他）</t>
    </r>
  </si>
  <si>
    <r>
      <rPr>
        <b/>
        <sz val="12"/>
        <color indexed="8"/>
        <rFont val="宋体"/>
        <charset val="134"/>
      </rPr>
      <t>实发</t>
    </r>
    <r>
      <rPr>
        <b/>
        <sz val="12"/>
        <color indexed="8"/>
        <rFont val="Calibri"/>
        <charset val="134"/>
      </rPr>
      <t xml:space="preserve">
</t>
    </r>
    <r>
      <rPr>
        <b/>
        <sz val="12"/>
        <color indexed="8"/>
        <rFont val="宋体"/>
        <charset val="134"/>
      </rPr>
      <t>工资</t>
    </r>
  </si>
  <si>
    <r>
      <rPr>
        <b/>
        <sz val="12"/>
        <color indexed="8"/>
        <rFont val="宋体"/>
        <charset val="134"/>
      </rPr>
      <t>备注</t>
    </r>
  </si>
  <si>
    <r>
      <rPr>
        <b/>
        <sz val="12"/>
        <color indexed="8"/>
        <rFont val="宋体"/>
        <charset val="134"/>
      </rPr>
      <t>长春发放</t>
    </r>
  </si>
  <si>
    <r>
      <rPr>
        <b/>
        <sz val="12"/>
        <color rgb="FF000000"/>
        <rFont val="宋体"/>
        <charset val="134"/>
      </rPr>
      <t>南京发放</t>
    </r>
  </si>
  <si>
    <r>
      <rPr>
        <sz val="12"/>
        <rFont val="Calibri"/>
        <charset val="134"/>
      </rPr>
      <t xml:space="preserve">Jane Zhang
</t>
    </r>
    <r>
      <rPr>
        <sz val="12"/>
        <rFont val="宋体"/>
        <charset val="134"/>
      </rPr>
      <t>张静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</si>
  <si>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300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5</t>
    </r>
    <r>
      <rPr>
        <sz val="12"/>
        <color rgb="FF000000"/>
        <rFont val="宋体"/>
        <charset val="134"/>
      </rPr>
      <t>月份公积金</t>
    </r>
    <r>
      <rPr>
        <sz val="12"/>
        <color rgb="FF000000"/>
        <rFont val="Calibri"/>
        <charset val="134"/>
      </rPr>
      <t xml:space="preserve">
2026</t>
    </r>
    <r>
      <rPr>
        <sz val="12"/>
        <color rgb="FF000000"/>
        <rFont val="宋体"/>
        <charset val="134"/>
      </rPr>
      <t>年年假未休，</t>
    </r>
    <r>
      <rPr>
        <sz val="12"/>
        <color rgb="FF000000"/>
        <rFont val="Calibri"/>
        <charset val="134"/>
      </rPr>
      <t>2026</t>
    </r>
    <r>
      <rPr>
        <sz val="12"/>
        <color rgb="FF000000"/>
        <rFont val="宋体"/>
        <charset val="134"/>
      </rPr>
      <t>年带薪病假已休</t>
    </r>
    <r>
      <rPr>
        <sz val="12"/>
        <color rgb="FF000000"/>
        <rFont val="Calibri"/>
        <charset val="134"/>
      </rPr>
      <t>0.56</t>
    </r>
    <r>
      <rPr>
        <sz val="12"/>
        <color rgb="FF000000"/>
        <rFont val="宋体"/>
        <charset val="134"/>
      </rPr>
      <t>天</t>
    </r>
  </si>
  <si>
    <r>
      <rPr>
        <sz val="12"/>
        <rFont val="Calibri"/>
        <charset val="134"/>
      </rPr>
      <t xml:space="preserve">Jasmine Wu
 </t>
    </r>
    <r>
      <rPr>
        <sz val="12"/>
        <rFont val="宋体"/>
        <charset val="134"/>
      </rPr>
      <t>吴跃迪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</si>
  <si>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200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5</t>
    </r>
    <r>
      <rPr>
        <sz val="12"/>
        <color rgb="FF000000"/>
        <rFont val="宋体"/>
        <charset val="134"/>
      </rPr>
      <t>月份公积金</t>
    </r>
    <r>
      <rPr>
        <sz val="12"/>
        <color rgb="FF000000"/>
        <rFont val="Calibri"/>
        <charset val="134"/>
      </rPr>
      <t xml:space="preserve">
2026</t>
    </r>
    <r>
      <rPr>
        <sz val="12"/>
        <color rgb="FF000000"/>
        <rFont val="宋体"/>
        <charset val="134"/>
      </rPr>
      <t>年带薪病假已休</t>
    </r>
    <r>
      <rPr>
        <sz val="12"/>
        <color rgb="FF000000"/>
        <rFont val="Calibri"/>
        <charset val="134"/>
      </rPr>
      <t>5</t>
    </r>
    <r>
      <rPr>
        <sz val="12"/>
        <color rgb="FF000000"/>
        <rFont val="宋体"/>
        <charset val="134"/>
      </rPr>
      <t>天</t>
    </r>
  </si>
  <si>
    <r>
      <rPr>
        <sz val="12"/>
        <rFont val="Calibri"/>
        <charset val="134"/>
      </rPr>
      <t xml:space="preserve">Black
</t>
    </r>
    <r>
      <rPr>
        <sz val="12"/>
        <rFont val="宋体"/>
        <charset val="134"/>
      </rPr>
      <t>徐刚</t>
    </r>
  </si>
  <si>
    <t>离职补偿金</t>
  </si>
  <si>
    <r>
      <rPr>
        <sz val="12"/>
        <rFont val="Calibri"/>
        <charset val="134"/>
      </rPr>
      <t xml:space="preserve">Lynne
</t>
    </r>
    <r>
      <rPr>
        <sz val="12"/>
        <rFont val="宋体"/>
        <charset val="134"/>
      </rPr>
      <t>吴佳琳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</si>
  <si>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天年假工资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5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1.44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</si>
  <si>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 xml:space="preserve">Inn
</t>
    </r>
    <r>
      <rPr>
        <sz val="12"/>
        <rFont val="宋体"/>
        <charset val="134"/>
      </rPr>
      <t>袁茵茵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</si>
  <si>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>5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奖励</t>
    </r>
    <r>
      <rPr>
        <sz val="12"/>
        <rFont val="Calibri"/>
        <charset val="134"/>
      </rPr>
      <t>540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年年假已休完，</t>
    </r>
    <r>
      <rPr>
        <sz val="12"/>
        <rFont val="Calibri"/>
        <charset val="134"/>
      </rPr>
      <t>2026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2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</si>
  <si>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 xml:space="preserve">James
</t>
    </r>
    <r>
      <rPr>
        <sz val="12"/>
        <rFont val="宋体"/>
        <charset val="134"/>
      </rPr>
      <t>马健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</si>
  <si>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0.44</t>
    </r>
    <r>
      <rPr>
        <sz val="12"/>
        <rFont val="宋体"/>
        <charset val="134"/>
      </rPr>
      <t>天年假工资，交通补贴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5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2.88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</si>
  <si>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 xml:space="preserve">Lenore
</t>
    </r>
    <r>
      <rPr>
        <sz val="12"/>
        <rFont val="宋体"/>
        <charset val="134"/>
      </rPr>
      <t>王钰璐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</si>
  <si>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5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年年假未休</t>
    </r>
  </si>
  <si>
    <r>
      <rPr>
        <sz val="12"/>
        <rFont val="Calibri"/>
        <charset val="134"/>
      </rPr>
      <t xml:space="preserve">Chloe
</t>
    </r>
    <r>
      <rPr>
        <sz val="12"/>
        <rFont val="宋体"/>
        <charset val="134"/>
      </rPr>
      <t>王信雅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</si>
  <si>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500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5</t>
    </r>
    <r>
      <rPr>
        <sz val="12"/>
        <rFont val="宋体"/>
        <charset val="134"/>
      </rPr>
      <t>月份公积金</t>
    </r>
  </si>
  <si>
    <r>
      <rPr>
        <sz val="12"/>
        <rFont val="Calibri"/>
        <charset val="134"/>
      </rPr>
      <t xml:space="preserve">Sunny
</t>
    </r>
    <r>
      <rPr>
        <sz val="12"/>
        <rFont val="宋体"/>
        <charset val="134"/>
      </rPr>
      <t>胡旭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</si>
  <si>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5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年假已休</t>
    </r>
    <r>
      <rPr>
        <sz val="12"/>
        <rFont val="Calibri"/>
        <charset val="134"/>
      </rPr>
      <t>0.56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</si>
  <si>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 xml:space="preserve">Erica
</t>
    </r>
    <r>
      <rPr>
        <sz val="12"/>
        <rFont val="宋体"/>
        <charset val="134"/>
      </rPr>
      <t>张新梦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</si>
  <si>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5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奖励</t>
    </r>
    <r>
      <rPr>
        <sz val="12"/>
        <rFont val="Calibri"/>
        <charset val="134"/>
      </rPr>
      <t>120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5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年年假已休完，</t>
    </r>
    <r>
      <rPr>
        <sz val="12"/>
        <rFont val="Calibri"/>
        <charset val="134"/>
      </rPr>
      <t>2026</t>
    </r>
    <r>
      <rPr>
        <sz val="12"/>
        <rFont val="宋体"/>
        <charset val="134"/>
      </rPr>
      <t>年年假</t>
    </r>
    <r>
      <rPr>
        <sz val="12"/>
        <rFont val="Calibri"/>
        <charset val="134"/>
      </rPr>
      <t>3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</si>
  <si>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 xml:space="preserve">Jenny
</t>
    </r>
    <r>
      <rPr>
        <sz val="12"/>
        <rFont val="宋体"/>
        <charset val="134"/>
      </rPr>
      <t>王丽</t>
    </r>
  </si>
  <si>
    <r>
      <rPr>
        <b/>
        <sz val="14"/>
        <rFont val="宋体"/>
        <charset val="134"/>
      </rPr>
      <t>合计</t>
    </r>
  </si>
  <si>
    <t xml:space="preserve"> </t>
  </si>
  <si>
    <r>
      <rPr>
        <b/>
        <sz val="12"/>
        <color rgb="FF000000"/>
        <rFont val="Calibri"/>
        <charset val="134"/>
      </rPr>
      <t>2026</t>
    </r>
    <r>
      <rPr>
        <b/>
        <sz val="12"/>
        <color rgb="FF000000"/>
        <rFont val="宋体"/>
        <charset val="134"/>
      </rPr>
      <t>年</t>
    </r>
    <r>
      <rPr>
        <b/>
        <sz val="12"/>
        <color rgb="FF000000"/>
        <rFont val="Calibri"/>
        <charset val="134"/>
      </rPr>
      <t>04</t>
    </r>
    <r>
      <rPr>
        <b/>
        <sz val="12"/>
        <color rgb="FF000000"/>
        <rFont val="宋体"/>
        <charset val="134"/>
      </rPr>
      <t>月工资</t>
    </r>
    <r>
      <rPr>
        <b/>
        <sz val="12"/>
        <color rgb="FF000000"/>
        <rFont val="Calibri"/>
        <charset val="134"/>
      </rPr>
      <t>--TECH ALLIANCE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</si>
  <si>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300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4</t>
    </r>
    <r>
      <rPr>
        <sz val="12"/>
        <color rgb="FF000000"/>
        <rFont val="宋体"/>
        <charset val="134"/>
      </rPr>
      <t>月份公积金</t>
    </r>
    <r>
      <rPr>
        <sz val="12"/>
        <color rgb="FF000000"/>
        <rFont val="Calibri"/>
        <charset val="134"/>
      </rPr>
      <t xml:space="preserve">
2026</t>
    </r>
    <r>
      <rPr>
        <sz val="12"/>
        <color rgb="FF000000"/>
        <rFont val="宋体"/>
        <charset val="134"/>
      </rPr>
      <t>年年假未休，</t>
    </r>
    <r>
      <rPr>
        <sz val="12"/>
        <color rgb="FF000000"/>
        <rFont val="Calibri"/>
        <charset val="134"/>
      </rPr>
      <t>2026</t>
    </r>
    <r>
      <rPr>
        <sz val="12"/>
        <color rgb="FF000000"/>
        <rFont val="宋体"/>
        <charset val="134"/>
      </rPr>
      <t>年带薪病假已休</t>
    </r>
    <r>
      <rPr>
        <sz val="12"/>
        <color rgb="FF000000"/>
        <rFont val="Calibri"/>
        <charset val="134"/>
      </rPr>
      <t>0.56</t>
    </r>
    <r>
      <rPr>
        <sz val="12"/>
        <color rgb="FF000000"/>
        <rFont val="宋体"/>
        <charset val="134"/>
      </rPr>
      <t>天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</si>
  <si>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200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>,9</t>
    </r>
    <r>
      <rPr>
        <sz val="12"/>
        <color rgb="FF000000"/>
        <rFont val="宋体"/>
        <charset val="134"/>
      </rPr>
      <t>天病假工资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4</t>
    </r>
    <r>
      <rPr>
        <sz val="12"/>
        <color rgb="FF000000"/>
        <rFont val="宋体"/>
        <charset val="134"/>
      </rPr>
      <t>月份公积金</t>
    </r>
    <r>
      <rPr>
        <sz val="12"/>
        <color rgb="FF000000"/>
        <rFont val="Calibri"/>
        <charset val="134"/>
      </rPr>
      <t xml:space="preserve">
2026</t>
    </r>
    <r>
      <rPr>
        <sz val="12"/>
        <color rgb="FF000000"/>
        <rFont val="宋体"/>
        <charset val="134"/>
      </rPr>
      <t>年带薪病假已休</t>
    </r>
    <r>
      <rPr>
        <sz val="12"/>
        <color rgb="FF000000"/>
        <rFont val="Calibri"/>
        <charset val="134"/>
      </rPr>
      <t>5</t>
    </r>
    <r>
      <rPr>
        <sz val="12"/>
        <color rgb="FF000000"/>
        <rFont val="宋体"/>
        <charset val="134"/>
      </rPr>
      <t>天</t>
    </r>
  </si>
  <si>
    <r>
      <rPr>
        <sz val="12"/>
        <color rgb="FF000000"/>
        <rFont val="宋体"/>
        <charset val="134"/>
      </rPr>
      <t>扣</t>
    </r>
    <r>
      <rPr>
        <sz val="12"/>
        <color rgb="FF000000"/>
        <rFont val="Calibri"/>
        <charset val="134"/>
      </rPr>
      <t>4</t>
    </r>
    <r>
      <rPr>
        <sz val="12"/>
        <color rgb="FF000000"/>
        <rFont val="宋体"/>
        <charset val="134"/>
      </rPr>
      <t>月份公积金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</si>
  <si>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4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0.44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</si>
  <si>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>4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奖励</t>
    </r>
    <r>
      <rPr>
        <sz val="12"/>
        <rFont val="Calibri"/>
        <charset val="134"/>
      </rPr>
      <t>540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年年假已休完，</t>
    </r>
    <r>
      <rPr>
        <sz val="12"/>
        <rFont val="Calibri"/>
        <charset val="134"/>
      </rPr>
      <t>2026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2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</si>
  <si>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0.44</t>
    </r>
    <r>
      <rPr>
        <sz val="12"/>
        <rFont val="宋体"/>
        <charset val="134"/>
      </rPr>
      <t>天年假工资，交通补贴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4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2.44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</si>
  <si>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4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年年假未休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</si>
  <si>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500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4</t>
    </r>
    <r>
      <rPr>
        <sz val="12"/>
        <rFont val="宋体"/>
        <charset val="134"/>
      </rPr>
      <t>月份公积金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</si>
  <si>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4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</si>
  <si>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4</t>
    </r>
    <r>
      <rPr>
        <sz val="12"/>
        <rFont val="宋体"/>
        <charset val="134"/>
      </rPr>
      <t>天年假工资，</t>
    </r>
    <r>
      <rPr>
        <sz val="12"/>
        <rFont val="Calibri"/>
        <charset val="134"/>
      </rPr>
      <t>4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奖励</t>
    </r>
    <r>
      <rPr>
        <sz val="12"/>
        <rFont val="Calibri"/>
        <charset val="134"/>
      </rPr>
      <t>540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4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年年假已休完，</t>
    </r>
    <r>
      <rPr>
        <sz val="12"/>
        <rFont val="Calibri"/>
        <charset val="134"/>
      </rPr>
      <t>2026</t>
    </r>
    <r>
      <rPr>
        <sz val="12"/>
        <rFont val="宋体"/>
        <charset val="134"/>
      </rPr>
      <t>年年假</t>
    </r>
    <r>
      <rPr>
        <sz val="12"/>
        <rFont val="Calibri"/>
        <charset val="134"/>
      </rPr>
      <t>3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</si>
  <si>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、扣（其他）：</t>
    </r>
    <r>
      <rPr>
        <sz val="12"/>
        <rFont val="Calibri"/>
        <charset val="134"/>
      </rPr>
      <t>4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惩罚</t>
    </r>
    <r>
      <rPr>
        <sz val="12"/>
        <rFont val="Calibri"/>
        <charset val="134"/>
      </rPr>
      <t>240</t>
    </r>
    <r>
      <rPr>
        <sz val="12"/>
        <rFont val="宋体"/>
        <charset val="134"/>
      </rPr>
      <t>元</t>
    </r>
  </si>
  <si>
    <r>
      <rPr>
        <b/>
        <sz val="12"/>
        <color rgb="FF000000"/>
        <rFont val="宋体"/>
        <charset val="134"/>
      </rPr>
      <t>租房</t>
    </r>
    <r>
      <rPr>
        <b/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宋体"/>
        <charset val="134"/>
      </rPr>
      <t>补贴</t>
    </r>
  </si>
  <si>
    <r>
      <rPr>
        <b/>
        <sz val="12"/>
        <color rgb="FF000000"/>
        <rFont val="宋体"/>
        <charset val="134"/>
      </rPr>
      <t>交通</t>
    </r>
    <r>
      <rPr>
        <b/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宋体"/>
        <charset val="134"/>
      </rPr>
      <t>补贴</t>
    </r>
  </si>
  <si>
    <r>
      <rPr>
        <sz val="12"/>
        <rFont val="宋体"/>
        <charset val="134"/>
      </rPr>
      <t>彭艳君</t>
    </r>
  </si>
  <si>
    <r>
      <rPr>
        <sz val="12"/>
        <rFont val="宋体"/>
        <charset val="134"/>
      </rPr>
      <t>工资</t>
    </r>
    <r>
      <rPr>
        <sz val="12"/>
        <rFont val="Calibri"/>
        <charset val="134"/>
      </rPr>
      <t>+</t>
    </r>
    <r>
      <rPr>
        <sz val="12"/>
        <rFont val="宋体"/>
        <charset val="134"/>
      </rPr>
      <t>机票</t>
    </r>
  </si>
  <si>
    <r>
      <rPr>
        <b/>
        <sz val="12"/>
        <color rgb="FF000000"/>
        <rFont val="Calibri"/>
        <charset val="134"/>
      </rPr>
      <t>2026</t>
    </r>
    <r>
      <rPr>
        <b/>
        <sz val="12"/>
        <color rgb="FF000000"/>
        <rFont val="宋体"/>
        <charset val="134"/>
      </rPr>
      <t>年</t>
    </r>
    <r>
      <rPr>
        <b/>
        <sz val="12"/>
        <color rgb="FF000000"/>
        <rFont val="Calibri"/>
        <charset val="134"/>
      </rPr>
      <t>03</t>
    </r>
    <r>
      <rPr>
        <b/>
        <sz val="12"/>
        <color rgb="FF000000"/>
        <rFont val="宋体"/>
        <charset val="134"/>
      </rPr>
      <t>月工资</t>
    </r>
    <r>
      <rPr>
        <b/>
        <sz val="12"/>
        <color rgb="FF000000"/>
        <rFont val="Calibri"/>
        <charset val="134"/>
      </rPr>
      <t>--TECH ALLIANCE</t>
    </r>
  </si>
  <si>
    <t>长春发放</t>
  </si>
  <si>
    <t>南京发放</t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</si>
  <si>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300</t>
    </r>
    <r>
      <rPr>
        <sz val="12"/>
        <color rgb="FF000000"/>
        <rFont val="宋体"/>
        <charset val="134"/>
      </rPr>
      <t>元，季度达标季度奖金</t>
    </r>
    <r>
      <rPr>
        <sz val="12"/>
        <color rgb="FF000000"/>
        <rFont val="Calibri"/>
        <charset val="134"/>
      </rPr>
      <t>3600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3</t>
    </r>
    <r>
      <rPr>
        <sz val="12"/>
        <color rgb="FF000000"/>
        <rFont val="宋体"/>
        <charset val="134"/>
      </rPr>
      <t>月份公积金</t>
    </r>
    <r>
      <rPr>
        <sz val="12"/>
        <color rgb="FF000000"/>
        <rFont val="Calibri"/>
        <charset val="134"/>
      </rPr>
      <t xml:space="preserve">
2026</t>
    </r>
    <r>
      <rPr>
        <sz val="12"/>
        <color rgb="FF000000"/>
        <rFont val="宋体"/>
        <charset val="134"/>
      </rPr>
      <t>年年假未休，</t>
    </r>
    <r>
      <rPr>
        <sz val="12"/>
        <color rgb="FF000000"/>
        <rFont val="Calibri"/>
        <charset val="134"/>
      </rPr>
      <t>2026</t>
    </r>
    <r>
      <rPr>
        <sz val="12"/>
        <color rgb="FF000000"/>
        <rFont val="宋体"/>
        <charset val="134"/>
      </rPr>
      <t>年带薪病假已休</t>
    </r>
    <r>
      <rPr>
        <sz val="12"/>
        <color rgb="FF000000"/>
        <rFont val="Calibri"/>
        <charset val="134"/>
      </rPr>
      <t>0.56</t>
    </r>
    <r>
      <rPr>
        <sz val="12"/>
        <color rgb="FF000000"/>
        <rFont val="宋体"/>
        <charset val="134"/>
      </rPr>
      <t>天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</si>
  <si>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200</t>
    </r>
    <r>
      <rPr>
        <sz val="12"/>
        <color rgb="FF000000"/>
        <rFont val="宋体"/>
        <charset val="134"/>
      </rPr>
      <t>元，季度达标奖金</t>
    </r>
    <r>
      <rPr>
        <sz val="12"/>
        <color rgb="FF000000"/>
        <rFont val="Calibri"/>
        <charset val="134"/>
      </rPr>
      <t>2400. 7</t>
    </r>
    <r>
      <rPr>
        <sz val="12"/>
        <color rgb="FF000000"/>
        <rFont val="宋体"/>
        <charset val="134"/>
      </rPr>
      <t>天病假工资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3</t>
    </r>
    <r>
      <rPr>
        <sz val="12"/>
        <color rgb="FF000000"/>
        <rFont val="宋体"/>
        <charset val="134"/>
      </rPr>
      <t>月份公积金</t>
    </r>
    <r>
      <rPr>
        <sz val="12"/>
        <color rgb="FF000000"/>
        <rFont val="Calibri"/>
        <charset val="134"/>
      </rPr>
      <t xml:space="preserve">
2026</t>
    </r>
    <r>
      <rPr>
        <sz val="12"/>
        <color rgb="FF000000"/>
        <rFont val="宋体"/>
        <charset val="134"/>
      </rPr>
      <t>年带薪病假已休</t>
    </r>
    <r>
      <rPr>
        <sz val="12"/>
        <color rgb="FF000000"/>
        <rFont val="Calibri"/>
        <charset val="134"/>
      </rPr>
      <t>5</t>
    </r>
    <r>
      <rPr>
        <sz val="12"/>
        <color rgb="FF000000"/>
        <rFont val="宋体"/>
        <charset val="134"/>
      </rPr>
      <t>天，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</si>
  <si>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200</t>
    </r>
    <r>
      <rPr>
        <sz val="12"/>
        <color rgb="FF000000"/>
        <rFont val="宋体"/>
        <charset val="134"/>
      </rPr>
      <t>元，</t>
    </r>
    <r>
      <rPr>
        <sz val="12"/>
        <color rgb="FF000000"/>
        <rFont val="Calibri"/>
        <charset val="134"/>
      </rPr>
      <t>0.56</t>
    </r>
    <r>
      <rPr>
        <sz val="12"/>
        <color rgb="FF000000"/>
        <rFont val="宋体"/>
        <charset val="134"/>
      </rPr>
      <t>天年假工资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3</t>
    </r>
    <r>
      <rPr>
        <sz val="12"/>
        <color rgb="FF000000"/>
        <rFont val="宋体"/>
        <charset val="134"/>
      </rPr>
      <t>月份公积金，</t>
    </r>
    <r>
      <rPr>
        <sz val="12"/>
        <color rgb="FF000000"/>
        <rFont val="Calibri"/>
        <charset val="134"/>
      </rPr>
      <t>3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Calibri"/>
        <charset val="134"/>
      </rPr>
      <t>KPI</t>
    </r>
    <r>
      <rPr>
        <sz val="12"/>
        <color rgb="FF000000"/>
        <rFont val="宋体"/>
        <charset val="134"/>
      </rPr>
      <t>惩罚</t>
    </r>
    <r>
      <rPr>
        <sz val="12"/>
        <color rgb="FF000000"/>
        <rFont val="Calibri"/>
        <charset val="134"/>
      </rPr>
      <t>360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2026</t>
    </r>
    <r>
      <rPr>
        <sz val="12"/>
        <color rgb="FF000000"/>
        <rFont val="宋体"/>
        <charset val="134"/>
      </rPr>
      <t>年年假已休</t>
    </r>
    <r>
      <rPr>
        <sz val="12"/>
        <color rgb="FF000000"/>
        <rFont val="Calibri"/>
        <charset val="134"/>
      </rPr>
      <t>1.56</t>
    </r>
    <r>
      <rPr>
        <sz val="12"/>
        <color rgb="FF000000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</si>
  <si>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>0.44</t>
    </r>
    <r>
      <rPr>
        <sz val="12"/>
        <rFont val="宋体"/>
        <charset val="134"/>
      </rPr>
      <t>天年假工资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3</t>
    </r>
    <r>
      <rPr>
        <sz val="12"/>
        <rFont val="宋体"/>
        <charset val="134"/>
      </rPr>
      <t>月份公积金，</t>
    </r>
    <r>
      <rPr>
        <sz val="12"/>
        <rFont val="Calibri"/>
        <charset val="134"/>
      </rPr>
      <t>3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惩罚</t>
    </r>
    <r>
      <rPr>
        <sz val="12"/>
        <rFont val="Calibri"/>
        <charset val="134"/>
      </rPr>
      <t>90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0.44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</si>
  <si>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>3</t>
    </r>
    <r>
      <rPr>
        <sz val="12"/>
        <rFont val="宋体"/>
        <charset val="134"/>
      </rPr>
      <t>天年假工资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</t>
    </r>
    <r>
      <rPr>
        <sz val="12"/>
        <rFont val="Calibri"/>
        <charset val="134"/>
      </rPr>
      <t>3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惩罚</t>
    </r>
    <r>
      <rPr>
        <sz val="12"/>
        <rFont val="Calibri"/>
        <charset val="134"/>
      </rPr>
      <t>180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年年假已休完，</t>
    </r>
    <r>
      <rPr>
        <sz val="12"/>
        <rFont val="Calibri"/>
        <charset val="134"/>
      </rPr>
      <t>2026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2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</si>
  <si>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2</t>
    </r>
    <r>
      <rPr>
        <sz val="12"/>
        <rFont val="宋体"/>
        <charset val="134"/>
      </rPr>
      <t>天年假工资，交通补贴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元，季度达标季度奖金</t>
    </r>
    <r>
      <rPr>
        <sz val="12"/>
        <rFont val="Calibri"/>
        <charset val="134"/>
      </rPr>
      <t>3000</t>
    </r>
    <r>
      <rPr>
        <sz val="12"/>
        <rFont val="宋体"/>
        <charset val="134"/>
      </rPr>
      <t>，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月入职金奖</t>
    </r>
    <r>
      <rPr>
        <sz val="12"/>
        <rFont val="Calibri"/>
        <charset val="134"/>
      </rPr>
      <t>600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3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2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</si>
  <si>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3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年年假未休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</si>
  <si>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500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3</t>
    </r>
    <r>
      <rPr>
        <sz val="12"/>
        <rFont val="宋体"/>
        <charset val="134"/>
      </rPr>
      <t>月份公积金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</si>
  <si>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天年假工资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3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</si>
  <si>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、加（其他）：季度达标季度奖金</t>
    </r>
    <r>
      <rPr>
        <sz val="12"/>
        <rFont val="Calibri"/>
        <charset val="134"/>
      </rPr>
      <t>2400</t>
    </r>
    <r>
      <rPr>
        <sz val="12"/>
        <rFont val="宋体"/>
        <charset val="134"/>
      </rPr>
      <t>.3月KPI奖励</t>
    </r>
    <r>
      <rPr>
        <sz val="12"/>
        <rFont val="Calibri"/>
        <charset val="134"/>
      </rPr>
      <t>60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3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</t>
    </r>
  </si>
  <si>
    <r>
      <rPr>
        <sz val="12"/>
        <rFont val="宋体"/>
        <charset val="134"/>
      </rPr>
      <t>1、扣</t>
    </r>
    <r>
      <rPr>
        <sz val="12"/>
        <rFont val="Calibri"/>
        <charset val="134"/>
      </rPr>
      <t>2</t>
    </r>
    <r>
      <rPr>
        <sz val="12"/>
        <rFont val="宋体"/>
        <charset val="134"/>
      </rPr>
      <t>、</t>
    </r>
    <r>
      <rPr>
        <sz val="12"/>
        <rFont val="Calibri"/>
        <charset val="134"/>
      </rPr>
      <t>3</t>
    </r>
    <r>
      <rPr>
        <sz val="12"/>
        <rFont val="宋体"/>
        <charset val="134"/>
      </rPr>
      <t>月份社保</t>
    </r>
  </si>
  <si>
    <t>租房
补贴</t>
  </si>
  <si>
    <t>交通
补贴</t>
  </si>
  <si>
    <t>彭艳君</t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</si>
  <si>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、加（其他）：高铁报销</t>
    </r>
    <r>
      <rPr>
        <sz val="12"/>
        <rFont val="Calibri"/>
        <charset val="134"/>
      </rPr>
      <t xml:space="preserve">
2026</t>
    </r>
    <r>
      <rPr>
        <sz val="12"/>
        <rFont val="宋体"/>
        <charset val="134"/>
      </rPr>
      <t>年</t>
    </r>
    <r>
      <rPr>
        <sz val="12"/>
        <rFont val="Calibri"/>
        <charset val="134"/>
      </rPr>
      <t>03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09</t>
    </r>
    <r>
      <rPr>
        <sz val="12"/>
        <rFont val="宋体"/>
        <charset val="134"/>
      </rPr>
      <t>入职</t>
    </r>
  </si>
  <si>
    <r>
      <rPr>
        <b/>
        <sz val="12"/>
        <color rgb="FF000000"/>
        <rFont val="Calibri"/>
        <charset val="134"/>
      </rPr>
      <t>2026</t>
    </r>
    <r>
      <rPr>
        <b/>
        <sz val="12"/>
        <color rgb="FF000000"/>
        <rFont val="宋体"/>
        <charset val="134"/>
      </rPr>
      <t>年</t>
    </r>
    <r>
      <rPr>
        <b/>
        <sz val="12"/>
        <color rgb="FF000000"/>
        <rFont val="Calibri"/>
        <charset val="134"/>
      </rPr>
      <t>02</t>
    </r>
    <r>
      <rPr>
        <b/>
        <sz val="12"/>
        <color rgb="FF000000"/>
        <rFont val="宋体"/>
        <charset val="134"/>
      </rPr>
      <t>月工资</t>
    </r>
    <r>
      <rPr>
        <b/>
        <sz val="12"/>
        <color rgb="FF000000"/>
        <rFont val="Calibri"/>
        <charset val="134"/>
      </rPr>
      <t>--TECH ALLIANCE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</si>
  <si>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300</t>
    </r>
    <r>
      <rPr>
        <sz val="12"/>
        <color rgb="FF000000"/>
        <rFont val="宋体"/>
        <charset val="134"/>
      </rPr>
      <t>元，</t>
    </r>
    <r>
      <rPr>
        <sz val="12"/>
        <color rgb="FF000000"/>
        <rFont val="Calibri"/>
        <charset val="134"/>
      </rPr>
      <t>0.56</t>
    </r>
    <r>
      <rPr>
        <sz val="12"/>
        <color rgb="FF000000"/>
        <rFont val="宋体"/>
        <charset val="134"/>
      </rPr>
      <t>天年假工资，育儿假</t>
    </r>
    <r>
      <rPr>
        <sz val="12"/>
        <color rgb="FF000000"/>
        <rFont val="Calibri"/>
        <charset val="134"/>
      </rPr>
      <t>4</t>
    </r>
    <r>
      <rPr>
        <sz val="12"/>
        <color rgb="FF000000"/>
        <rFont val="宋体"/>
        <charset val="134"/>
      </rPr>
      <t>天工资，</t>
    </r>
    <r>
      <rPr>
        <sz val="12"/>
        <color rgb="FF000000"/>
        <rFont val="Calibri"/>
        <charset val="134"/>
      </rPr>
      <t>0.56</t>
    </r>
    <r>
      <rPr>
        <sz val="12"/>
        <color rgb="FF000000"/>
        <rFont val="宋体"/>
        <charset val="134"/>
      </rPr>
      <t>天病假工资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2</t>
    </r>
    <r>
      <rPr>
        <sz val="12"/>
        <color rgb="FF000000"/>
        <rFont val="宋体"/>
        <charset val="134"/>
      </rPr>
      <t>月份公积金</t>
    </r>
    <r>
      <rPr>
        <sz val="12"/>
        <color rgb="FF000000"/>
        <rFont val="Calibri"/>
        <charset val="134"/>
      </rPr>
      <t xml:space="preserve">
2025</t>
    </r>
    <r>
      <rPr>
        <sz val="12"/>
        <color rgb="FF000000"/>
        <rFont val="宋体"/>
        <charset val="134"/>
      </rPr>
      <t>年年假已休完，</t>
    </r>
    <r>
      <rPr>
        <sz val="12"/>
        <color rgb="FF000000"/>
        <rFont val="Calibri"/>
        <charset val="134"/>
      </rPr>
      <t>2026</t>
    </r>
    <r>
      <rPr>
        <sz val="12"/>
        <color rgb="FF000000"/>
        <rFont val="宋体"/>
        <charset val="134"/>
      </rPr>
      <t>年带薪病假已休</t>
    </r>
    <r>
      <rPr>
        <sz val="12"/>
        <color rgb="FF000000"/>
        <rFont val="Calibri"/>
        <charset val="134"/>
      </rPr>
      <t>0.56</t>
    </r>
    <r>
      <rPr>
        <sz val="12"/>
        <color rgb="FF000000"/>
        <rFont val="宋体"/>
        <charset val="134"/>
      </rPr>
      <t>天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</si>
  <si>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200</t>
    </r>
    <r>
      <rPr>
        <sz val="12"/>
        <color rgb="FF000000"/>
        <rFont val="宋体"/>
        <charset val="134"/>
      </rPr>
      <t>元，调休</t>
    </r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天工资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2</t>
    </r>
    <r>
      <rPr>
        <sz val="12"/>
        <color rgb="FF000000"/>
        <rFont val="宋体"/>
        <charset val="134"/>
      </rPr>
      <t>月份公积金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</si>
  <si>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200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2</t>
    </r>
    <r>
      <rPr>
        <sz val="12"/>
        <color rgb="FF000000"/>
        <rFont val="宋体"/>
        <charset val="134"/>
      </rPr>
      <t>月份公积金，</t>
    </r>
    <r>
      <rPr>
        <sz val="12"/>
        <color rgb="FF000000"/>
        <rFont val="Calibri"/>
        <charset val="134"/>
      </rPr>
      <t>2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Calibri"/>
        <charset val="134"/>
      </rPr>
      <t>KPI</t>
    </r>
    <r>
      <rPr>
        <sz val="12"/>
        <color rgb="FF000000"/>
        <rFont val="宋体"/>
        <charset val="134"/>
      </rPr>
      <t>惩罚</t>
    </r>
    <r>
      <rPr>
        <sz val="12"/>
        <color rgb="FF000000"/>
        <rFont val="Calibri"/>
        <charset val="134"/>
      </rPr>
      <t>270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2026</t>
    </r>
    <r>
      <rPr>
        <sz val="12"/>
        <color rgb="FF000000"/>
        <rFont val="宋体"/>
        <charset val="134"/>
      </rPr>
      <t>年年假已休</t>
    </r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</si>
  <si>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天年假工资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月份公积金，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惩罚</t>
    </r>
    <r>
      <rPr>
        <sz val="12"/>
        <rFont val="Calibri"/>
        <charset val="134"/>
      </rPr>
      <t>180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4.38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</si>
  <si>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天年假工资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惩罚</t>
    </r>
    <r>
      <rPr>
        <sz val="12"/>
        <rFont val="Calibri"/>
        <charset val="134"/>
      </rPr>
      <t>90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年病假已休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天，年假已休</t>
    </r>
    <r>
      <rPr>
        <sz val="12"/>
        <rFont val="Calibri"/>
        <charset val="134"/>
      </rPr>
      <t>4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</si>
  <si>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天年假工资，交通补贴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</si>
  <si>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</si>
  <si>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500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月份公积金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</si>
  <si>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0.56</t>
    </r>
    <r>
      <rPr>
        <sz val="12"/>
        <rFont val="宋体"/>
        <charset val="134"/>
      </rPr>
      <t>天年假工资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年年假还剩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</si>
  <si>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天年假工资，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奖励</t>
    </r>
    <r>
      <rPr>
        <sz val="12"/>
        <rFont val="Calibri"/>
        <charset val="134"/>
      </rPr>
      <t>300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2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</t>
    </r>
  </si>
  <si>
    <r>
      <rPr>
        <b/>
        <sz val="12"/>
        <color rgb="FF000000"/>
        <rFont val="Calibri"/>
        <charset val="134"/>
      </rPr>
      <t>2026</t>
    </r>
    <r>
      <rPr>
        <b/>
        <sz val="12"/>
        <color rgb="FF000000"/>
        <rFont val="宋体"/>
        <charset val="134"/>
      </rPr>
      <t>年</t>
    </r>
    <r>
      <rPr>
        <b/>
        <sz val="12"/>
        <color rgb="FF000000"/>
        <rFont val="Calibri"/>
        <charset val="134"/>
      </rPr>
      <t>01</t>
    </r>
    <r>
      <rPr>
        <b/>
        <sz val="12"/>
        <color rgb="FF000000"/>
        <rFont val="宋体"/>
        <charset val="134"/>
      </rPr>
      <t>月工资</t>
    </r>
    <r>
      <rPr>
        <b/>
        <sz val="12"/>
        <color rgb="FF000000"/>
        <rFont val="Calibri"/>
        <charset val="134"/>
      </rPr>
      <t>--TECH ALLIANCE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</si>
  <si>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200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>,</t>
    </r>
    <r>
      <rPr>
        <sz val="12"/>
        <color rgb="FF000000"/>
        <rFont val="宋体"/>
        <charset val="134"/>
      </rPr>
      <t>出差补贴</t>
    </r>
    <r>
      <rPr>
        <sz val="12"/>
        <color rgb="FF000000"/>
        <rFont val="Calibri"/>
        <charset val="134"/>
      </rPr>
      <t>360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月份公积金</t>
    </r>
    <r>
      <rPr>
        <sz val="12"/>
        <color rgb="FF000000"/>
        <rFont val="Calibri"/>
        <charset val="134"/>
      </rPr>
      <t xml:space="preserve">
2025</t>
    </r>
    <r>
      <rPr>
        <sz val="12"/>
        <color rgb="FF000000"/>
        <rFont val="宋体"/>
        <charset val="134"/>
      </rPr>
      <t>年年假已休</t>
    </r>
    <r>
      <rPr>
        <sz val="12"/>
        <color rgb="FF000000"/>
        <rFont val="Calibri"/>
        <charset val="134"/>
      </rPr>
      <t>4.37</t>
    </r>
    <r>
      <rPr>
        <sz val="12"/>
        <color rgb="FF000000"/>
        <rFont val="宋体"/>
        <charset val="134"/>
      </rPr>
      <t>天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</si>
  <si>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200</t>
    </r>
    <r>
      <rPr>
        <sz val="12"/>
        <color rgb="FF000000"/>
        <rFont val="宋体"/>
        <charset val="134"/>
      </rPr>
      <t>元，出差补贴</t>
    </r>
    <r>
      <rPr>
        <sz val="12"/>
        <color rgb="FF000000"/>
        <rFont val="Calibri"/>
        <charset val="134"/>
      </rPr>
      <t>360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月份公积金</t>
    </r>
    <r>
      <rPr>
        <sz val="12"/>
        <color rgb="FF000000"/>
        <rFont val="Calibri"/>
        <charset val="134"/>
      </rPr>
      <t xml:space="preserve">
2025</t>
    </r>
    <r>
      <rPr>
        <sz val="12"/>
        <color rgb="FF000000"/>
        <rFont val="宋体"/>
        <charset val="134"/>
      </rPr>
      <t>年年假已休完</t>
    </r>
  </si>
  <si>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、加（其他）：交通补贴</t>
    </r>
    <r>
      <rPr>
        <sz val="12"/>
        <color rgb="FF000000"/>
        <rFont val="Calibri"/>
        <charset val="134"/>
      </rPr>
      <t>200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</t>
    </r>
    <r>
      <rPr>
        <sz val="12"/>
        <color rgb="FF000000"/>
        <rFont val="宋体"/>
        <charset val="134"/>
      </rPr>
      <t>、扣（其他）：扣</t>
    </r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月份公积金，</t>
    </r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月</t>
    </r>
    <r>
      <rPr>
        <sz val="12"/>
        <color rgb="FF000000"/>
        <rFont val="Calibri"/>
        <charset val="134"/>
      </rPr>
      <t>KPI</t>
    </r>
    <r>
      <rPr>
        <sz val="12"/>
        <color rgb="FF000000"/>
        <rFont val="宋体"/>
        <charset val="134"/>
      </rPr>
      <t>惩罚</t>
    </r>
    <r>
      <rPr>
        <sz val="12"/>
        <color rgb="FF000000"/>
        <rFont val="Calibri"/>
        <charset val="134"/>
      </rPr>
      <t>360</t>
    </r>
    <r>
      <rPr>
        <sz val="12"/>
        <color rgb="FF000000"/>
        <rFont val="宋体"/>
        <charset val="134"/>
      </rPr>
      <t>元</t>
    </r>
    <r>
      <rPr>
        <sz val="12"/>
        <color rgb="FF000000"/>
        <rFont val="Calibri"/>
        <charset val="134"/>
      </rPr>
      <t xml:space="preserve">
2025</t>
    </r>
    <r>
      <rPr>
        <sz val="12"/>
        <color rgb="FF000000"/>
        <rFont val="宋体"/>
        <charset val="134"/>
      </rPr>
      <t>年年假已休完，</t>
    </r>
    <r>
      <rPr>
        <sz val="12"/>
        <color rgb="FF000000"/>
        <rFont val="Calibri"/>
        <charset val="134"/>
      </rPr>
      <t>2025</t>
    </r>
    <r>
      <rPr>
        <sz val="12"/>
        <color rgb="FF000000"/>
        <rFont val="宋体"/>
        <charset val="134"/>
      </rPr>
      <t>年病假已休</t>
    </r>
    <r>
      <rPr>
        <sz val="12"/>
        <color rgb="FF000000"/>
        <rFont val="Calibri"/>
        <charset val="134"/>
      </rPr>
      <t>7.63</t>
    </r>
    <r>
      <rPr>
        <sz val="12"/>
        <color rgb="FF000000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</si>
  <si>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>0.38</t>
    </r>
    <r>
      <rPr>
        <sz val="12"/>
        <rFont val="宋体"/>
        <charset val="134"/>
      </rPr>
      <t>天年假工资，奖金</t>
    </r>
    <r>
      <rPr>
        <sz val="12"/>
        <rFont val="Calibri"/>
        <charset val="134"/>
      </rPr>
      <t>6000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1</t>
    </r>
    <r>
      <rPr>
        <sz val="12"/>
        <rFont val="宋体"/>
        <charset val="134"/>
      </rPr>
      <t>月份公积金，</t>
    </r>
    <r>
      <rPr>
        <sz val="12"/>
        <rFont val="Calibri"/>
        <charset val="134"/>
      </rPr>
      <t>1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惩罚</t>
    </r>
    <r>
      <rPr>
        <sz val="12"/>
        <rFont val="Calibri"/>
        <charset val="134"/>
      </rPr>
      <t>90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3.38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</si>
  <si>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天年假工资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</t>
    </r>
    <r>
      <rPr>
        <sz val="12"/>
        <rFont val="Calibri"/>
        <charset val="134"/>
      </rPr>
      <t>1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KPI</t>
    </r>
    <r>
      <rPr>
        <sz val="12"/>
        <rFont val="宋体"/>
        <charset val="134"/>
      </rPr>
      <t>惩罚</t>
    </r>
    <r>
      <rPr>
        <sz val="12"/>
        <rFont val="Calibri"/>
        <charset val="134"/>
      </rPr>
      <t>90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年病假已休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天，年假已休</t>
    </r>
    <r>
      <rPr>
        <sz val="12"/>
        <rFont val="Calibri"/>
        <charset val="134"/>
      </rPr>
      <t>3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</si>
  <si>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天年假工资，交通补贴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元，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1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4.12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</si>
  <si>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200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1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年年假已休完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</si>
  <si>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、加（其他）：交通补贴</t>
    </r>
    <r>
      <rPr>
        <sz val="12"/>
        <rFont val="Calibri"/>
        <charset val="134"/>
      </rPr>
      <t>500</t>
    </r>
    <r>
      <rPr>
        <sz val="12"/>
        <rFont val="宋体"/>
        <charset val="134"/>
      </rPr>
      <t>元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1</t>
    </r>
    <r>
      <rPr>
        <sz val="12"/>
        <rFont val="宋体"/>
        <charset val="134"/>
      </rPr>
      <t>月份公积金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</si>
  <si>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1</t>
    </r>
    <r>
      <rPr>
        <sz val="12"/>
        <rFont val="宋体"/>
        <charset val="134"/>
      </rPr>
      <t>月份公积金</t>
    </r>
  </si>
  <si>
    <r>
      <rPr>
        <sz val="12"/>
        <rFont val="Calibri"/>
        <charset val="134"/>
      </rPr>
      <t>1</t>
    </r>
    <r>
      <rPr>
        <sz val="12"/>
        <rFont val="宋体"/>
        <charset val="134"/>
      </rPr>
      <t>、加（其他）：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天年假工资</t>
    </r>
    <r>
      <rPr>
        <sz val="12"/>
        <rFont val="Calibri"/>
        <charset val="134"/>
      </rPr>
      <t xml:space="preserve">
2</t>
    </r>
    <r>
      <rPr>
        <sz val="12"/>
        <rFont val="宋体"/>
        <charset val="134"/>
      </rPr>
      <t>、扣（其他）：扣</t>
    </r>
    <r>
      <rPr>
        <sz val="12"/>
        <rFont val="Calibri"/>
        <charset val="134"/>
      </rPr>
      <t>1</t>
    </r>
    <r>
      <rPr>
        <sz val="12"/>
        <rFont val="宋体"/>
        <charset val="134"/>
      </rPr>
      <t>月份公积金</t>
    </r>
    <r>
      <rPr>
        <sz val="12"/>
        <rFont val="Calibri"/>
        <charset val="134"/>
      </rPr>
      <t xml:space="preserve">
2025</t>
    </r>
    <r>
      <rPr>
        <sz val="12"/>
        <rFont val="宋体"/>
        <charset val="134"/>
      </rPr>
      <t>年年假已休</t>
    </r>
    <r>
      <rPr>
        <sz val="12"/>
        <rFont val="Calibri"/>
        <charset val="134"/>
      </rPr>
      <t>1</t>
    </r>
    <r>
      <rPr>
        <sz val="12"/>
        <rFont val="宋体"/>
        <charset val="134"/>
      </rPr>
      <t>天</t>
    </r>
  </si>
  <si>
    <r>
      <rPr>
        <sz val="12"/>
        <rFont val="Calibri"/>
        <charset val="134"/>
      </rPr>
      <t>2026</t>
    </r>
    <r>
      <rPr>
        <sz val="12"/>
        <rFont val="宋体"/>
        <charset val="134"/>
      </rPr>
      <t>年</t>
    </r>
    <r>
      <rPr>
        <sz val="12"/>
        <rFont val="Calibri"/>
        <charset val="134"/>
      </rPr>
      <t>1</t>
    </r>
    <r>
      <rPr>
        <sz val="12"/>
        <rFont val="宋体"/>
        <charset val="134"/>
      </rPr>
      <t>月</t>
    </r>
    <r>
      <rPr>
        <sz val="12"/>
        <rFont val="Calibri"/>
        <charset val="134"/>
      </rPr>
      <t>26</t>
    </r>
    <r>
      <rPr>
        <sz val="12"/>
        <rFont val="宋体"/>
        <charset val="134"/>
      </rPr>
      <t>日入职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</si>
</sst>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yy;@"/>
    <numFmt numFmtId="177" formatCode="0.00_);[Red]\(0.00\)"/>
    <numFmt numFmtId="178" formatCode="0.00_ "/>
    <numFmt numFmtId="179" formatCode="#,##0.00_ "/>
  </numFmts>
  <fonts count="38">
    <font>
      <sz val="11"/>
      <color theme="1"/>
      <name val="宋体"/>
      <charset val="134"/>
      <scheme val="minor"/>
    </font>
    <font>
      <sz val="12"/>
      <color rgb="FF000000"/>
      <name val="Calibri"/>
      <charset val="134"/>
    </font>
    <font>
      <sz val="12"/>
      <name val="Calibri"/>
      <charset val="134"/>
    </font>
    <font>
      <sz val="12"/>
      <color theme="1"/>
      <name val="Calibri"/>
      <charset val="134"/>
    </font>
    <font>
      <b/>
      <sz val="12"/>
      <color rgb="FF000000"/>
      <name val="Calibri"/>
      <charset val="134"/>
    </font>
    <font>
      <b/>
      <sz val="12"/>
      <name val="Calibri"/>
      <charset val="134"/>
    </font>
    <font>
      <b/>
      <sz val="12"/>
      <color indexed="8"/>
      <name val="Calibri"/>
      <charset val="134"/>
    </font>
    <font>
      <b/>
      <sz val="12"/>
      <color rgb="FF000000"/>
      <name val="宋体"/>
      <charset val="134"/>
    </font>
    <font>
      <b/>
      <sz val="14"/>
      <name val="Calibri"/>
      <charset val="134"/>
    </font>
    <font>
      <sz val="12"/>
      <name val="宋体"/>
      <charset val="134"/>
    </font>
    <font>
      <sz val="11"/>
      <color theme="1"/>
      <name val="Calibr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0"/>
      <name val="Arial"/>
      <charset val="134"/>
    </font>
    <font>
      <b/>
      <sz val="12"/>
      <color indexed="8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>
      <protection locked="0"/>
    </xf>
    <xf numFmtId="0" fontId="9" fillId="0" borderId="0">
      <protection locked="0"/>
    </xf>
    <xf numFmtId="0" fontId="31" fillId="0" borderId="0">
      <protection locked="0"/>
    </xf>
    <xf numFmtId="176" fontId="32" fillId="0" borderId="0"/>
  </cellStyleXfs>
  <cellXfs count="55">
    <xf numFmtId="0" fontId="0" fillId="0" borderId="0" xfId="0">
      <alignment vertical="center"/>
    </xf>
    <xf numFmtId="177" fontId="1" fillId="0" borderId="0" xfId="51" applyNumberFormat="1" applyFont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" fillId="0" borderId="0" xfId="51" applyFont="1" applyFill="1" applyAlignment="1" applyProtection="1">
      <alignment horizontal="center" vertical="center"/>
    </xf>
    <xf numFmtId="0" fontId="1" fillId="2" borderId="0" xfId="51" applyFont="1" applyFill="1" applyAlignment="1" applyProtection="1">
      <alignment horizontal="center" vertical="center"/>
    </xf>
    <xf numFmtId="178" fontId="2" fillId="0" borderId="0" xfId="0" applyNumberFormat="1" applyFont="1" applyFill="1" applyAlignment="1">
      <alignment vertical="center"/>
    </xf>
    <xf numFmtId="0" fontId="3" fillId="0" borderId="0" xfId="0" applyFont="1">
      <alignment vertical="center"/>
    </xf>
    <xf numFmtId="0" fontId="4" fillId="3" borderId="0" xfId="51" applyFont="1" applyFill="1" applyAlignment="1" applyProtection="1">
      <alignment horizontal="left" vertical="center"/>
    </xf>
    <xf numFmtId="178" fontId="4" fillId="3" borderId="0" xfId="51" applyNumberFormat="1" applyFont="1" applyFill="1" applyAlignment="1" applyProtection="1">
      <alignment horizontal="center" vertical="center"/>
    </xf>
    <xf numFmtId="0" fontId="1" fillId="3" borderId="0" xfId="51" applyFont="1" applyFill="1" applyAlignment="1" applyProtection="1">
      <alignment horizontal="center" vertical="center"/>
    </xf>
    <xf numFmtId="177" fontId="1" fillId="0" borderId="0" xfId="51" applyNumberFormat="1" applyFont="1" applyFill="1" applyAlignment="1" applyProtection="1">
      <alignment horizontal="center" vertical="center"/>
    </xf>
    <xf numFmtId="0" fontId="1" fillId="0" borderId="0" xfId="51" applyFont="1" applyAlignment="1" applyProtection="1">
      <alignment horizontal="left" vertical="center"/>
    </xf>
    <xf numFmtId="0" fontId="1" fillId="0" borderId="0" xfId="51" applyFont="1" applyAlignment="1" applyProtection="1">
      <alignment horizontal="center" vertical="center"/>
    </xf>
    <xf numFmtId="0" fontId="5" fillId="0" borderId="0" xfId="51" applyFont="1" applyFill="1" applyAlignment="1" applyProtection="1">
      <alignment horizontal="left" vertical="center"/>
    </xf>
    <xf numFmtId="178" fontId="5" fillId="0" borderId="0" xfId="51" applyNumberFormat="1" applyFont="1" applyFill="1" applyAlignment="1" applyProtection="1">
      <alignment horizontal="left" vertical="center"/>
    </xf>
    <xf numFmtId="0" fontId="2" fillId="0" borderId="0" xfId="51" applyFont="1" applyFill="1" applyAlignment="1" applyProtection="1">
      <alignment horizontal="left" vertical="center"/>
    </xf>
    <xf numFmtId="0" fontId="4" fillId="4" borderId="1" xfId="51" applyFont="1" applyFill="1" applyBorder="1" applyAlignment="1" applyProtection="1">
      <alignment horizontal="center" vertical="center" wrapText="1"/>
    </xf>
    <xf numFmtId="178" fontId="6" fillId="4" borderId="1" xfId="51" applyNumberFormat="1" applyFont="1" applyFill="1" applyBorder="1" applyAlignment="1" applyProtection="1">
      <alignment horizontal="center" vertical="center" wrapText="1"/>
    </xf>
    <xf numFmtId="0" fontId="6" fillId="4" borderId="1" xfId="51" applyFont="1" applyFill="1" applyBorder="1" applyAlignment="1" applyProtection="1">
      <alignment horizontal="center" vertical="center" wrapText="1"/>
    </xf>
    <xf numFmtId="177" fontId="6" fillId="4" borderId="1" xfId="51" applyNumberFormat="1" applyFont="1" applyFill="1" applyBorder="1" applyAlignment="1" applyProtection="1">
      <alignment horizontal="center" vertical="center" wrapText="1"/>
    </xf>
    <xf numFmtId="177" fontId="4" fillId="4" borderId="1" xfId="51" applyNumberFormat="1" applyFont="1" applyFill="1" applyBorder="1" applyAlignment="1" applyProtection="1">
      <alignment horizontal="center" vertical="center" wrapText="1"/>
    </xf>
    <xf numFmtId="177" fontId="6" fillId="4" borderId="1" xfId="51" applyNumberFormat="1" applyFont="1" applyFill="1" applyBorder="1" applyAlignment="1" applyProtection="1">
      <alignment horizontal="left" vertical="center" wrapText="1"/>
    </xf>
    <xf numFmtId="177" fontId="7" fillId="4" borderId="1" xfId="51" applyNumberFormat="1" applyFont="1" applyFill="1" applyBorder="1" applyAlignment="1" applyProtection="1">
      <alignment horizontal="left" vertical="center" wrapText="1"/>
    </xf>
    <xf numFmtId="0" fontId="2" fillId="0" borderId="1" xfId="51" applyFont="1" applyFill="1" applyBorder="1" applyAlignment="1" applyProtection="1">
      <alignment horizontal="center" vertical="center" wrapText="1"/>
    </xf>
    <xf numFmtId="0" fontId="1" fillId="0" borderId="1" xfId="51" applyFont="1" applyFill="1" applyBorder="1" applyAlignment="1" applyProtection="1">
      <alignment horizontal="center" vertical="center"/>
    </xf>
    <xf numFmtId="178" fontId="1" fillId="0" borderId="1" xfId="51" applyNumberFormat="1" applyFont="1" applyFill="1" applyBorder="1" applyAlignment="1" applyProtection="1">
      <alignment horizontal="center" vertical="center"/>
    </xf>
    <xf numFmtId="177" fontId="1" fillId="0" borderId="1" xfId="51" applyNumberFormat="1" applyFont="1" applyFill="1" applyBorder="1" applyAlignment="1" applyProtection="1">
      <alignment horizontal="center" vertical="center"/>
    </xf>
    <xf numFmtId="177" fontId="1" fillId="0" borderId="1" xfId="49" applyNumberFormat="1" applyFont="1" applyFill="1" applyBorder="1" applyAlignment="1" applyProtection="1">
      <alignment horizontal="center" vertical="center"/>
    </xf>
    <xf numFmtId="0" fontId="1" fillId="0" borderId="1" xfId="51" applyFont="1" applyFill="1" applyBorder="1" applyAlignment="1" applyProtection="1">
      <alignment horizontal="left" vertical="center" wrapText="1"/>
    </xf>
    <xf numFmtId="0" fontId="1" fillId="2" borderId="1" xfId="51" applyFont="1" applyFill="1" applyBorder="1" applyAlignment="1" applyProtection="1">
      <alignment horizontal="center" vertical="center" wrapText="1"/>
    </xf>
    <xf numFmtId="0" fontId="1" fillId="2" borderId="1" xfId="51" applyFont="1" applyFill="1" applyBorder="1" applyAlignment="1" applyProtection="1">
      <alignment horizontal="center" vertical="center"/>
    </xf>
    <xf numFmtId="178" fontId="1" fillId="2" borderId="1" xfId="51" applyNumberFormat="1" applyFont="1" applyFill="1" applyBorder="1" applyAlignment="1" applyProtection="1">
      <alignment horizontal="center" vertical="center"/>
    </xf>
    <xf numFmtId="177" fontId="1" fillId="2" borderId="1" xfId="51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51" applyFont="1" applyFill="1" applyBorder="1" applyAlignment="1" applyProtection="1">
      <alignment horizontal="left" vertical="center" wrapText="1"/>
    </xf>
    <xf numFmtId="178" fontId="1" fillId="0" borderId="0" xfId="51" applyNumberFormat="1" applyFont="1" applyFill="1" applyAlignment="1" applyProtection="1">
      <alignment horizontal="center" vertical="center"/>
    </xf>
    <xf numFmtId="0" fontId="8" fillId="5" borderId="0" xfId="0" applyFont="1" applyFill="1" applyAlignment="1">
      <alignment horizontal="center" vertical="center"/>
    </xf>
    <xf numFmtId="179" fontId="8" fillId="5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>
      <alignment vertical="center"/>
    </xf>
    <xf numFmtId="0" fontId="9" fillId="0" borderId="1" xfId="51" applyFont="1" applyFill="1" applyBorder="1" applyAlignment="1" applyProtection="1">
      <alignment horizontal="left" vertical="center" wrapText="1"/>
    </xf>
    <xf numFmtId="177" fontId="7" fillId="4" borderId="1" xfId="51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4" fillId="4" borderId="1" xfId="51" applyNumberFormat="1" applyFont="1" applyFill="1" applyBorder="1" applyAlignment="1" applyProtection="1">
      <alignment horizontal="left" vertical="center" wrapText="1"/>
    </xf>
    <xf numFmtId="178" fontId="4" fillId="4" borderId="1" xfId="51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1" fillId="0" borderId="1" xfId="51" applyFont="1" applyFill="1" applyBorder="1" applyAlignment="1" applyProtection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  <cellStyle name="常规_2008825164225560" xfId="50"/>
    <cellStyle name="常规 3" xfId="51"/>
    <cellStyle name="常规_出厂价_2_8月_72" xf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abSelected="1" zoomScale="70" zoomScaleNormal="70" topLeftCell="A11" workbookViewId="0">
      <selection activeCell="Q14" sqref="Q14:Q15"/>
    </sheetView>
  </sheetViews>
  <sheetFormatPr defaultColWidth="9" defaultRowHeight="15.5"/>
  <cols>
    <col min="1" max="1" width="12.6363636363636" style="2" customWidth="1"/>
    <col min="2" max="2" width="10.6363636363636" style="2" customWidth="1"/>
    <col min="3" max="3" width="10.6363636363636" style="5" customWidth="1"/>
    <col min="4" max="15" width="10.6363636363636" style="2" customWidth="1"/>
    <col min="16" max="16" width="9.21818181818182" style="2" customWidth="1"/>
    <col min="17" max="17" width="13.2454545454545" style="2" customWidth="1"/>
    <col min="18" max="18" width="35.1909090909091" style="2" customWidth="1"/>
    <col min="19" max="19" width="11.2909090909091" style="2" customWidth="1"/>
    <col min="20" max="20" width="20.1272727272727" style="2" customWidth="1"/>
    <col min="21" max="16378" width="9" style="2"/>
    <col min="16379" max="16384" width="9" style="6"/>
  </cols>
  <sheetData>
    <row r="1" s="1" customFormat="1" ht="30" customHeight="1" spans="1:1024 1025:16384">
      <c r="A1" s="7" t="s">
        <v>0</v>
      </c>
      <c r="B1" s="7"/>
      <c r="C1" s="8"/>
      <c r="D1" s="9"/>
      <c r="E1" s="9"/>
      <c r="F1" s="9"/>
      <c r="G1" s="9"/>
      <c r="M1" s="10"/>
      <c r="R1" s="11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</row>
    <row r="2" s="1" customFormat="1" ht="21.75" customHeight="1" spans="1:1024 1025:16384">
      <c r="A2" s="13" t="s">
        <v>1</v>
      </c>
      <c r="B2" s="13"/>
      <c r="C2" s="14"/>
      <c r="D2" s="15"/>
      <c r="E2" s="3"/>
      <c r="F2" s="3"/>
      <c r="G2" s="3"/>
      <c r="M2" s="10"/>
      <c r="R2" s="11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</row>
    <row r="3" s="2" customFormat="1" ht="46" customHeight="1" spans="1:1024 1025:16384">
      <c r="A3" s="16" t="s">
        <v>2</v>
      </c>
      <c r="B3" s="16" t="s">
        <v>3</v>
      </c>
      <c r="C3" s="17" t="s">
        <v>4</v>
      </c>
      <c r="D3" s="18" t="s">
        <v>5</v>
      </c>
      <c r="E3" s="16" t="s">
        <v>6</v>
      </c>
      <c r="F3" s="18" t="s">
        <v>7</v>
      </c>
      <c r="G3" s="18" t="s">
        <v>8</v>
      </c>
      <c r="H3" s="19" t="s">
        <v>9</v>
      </c>
      <c r="I3" s="19" t="s">
        <v>10</v>
      </c>
      <c r="J3" s="19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17</v>
      </c>
      <c r="Q3" s="19" t="s">
        <v>18</v>
      </c>
      <c r="R3" s="21" t="s">
        <v>19</v>
      </c>
      <c r="S3" s="21" t="s">
        <v>20</v>
      </c>
      <c r="T3" s="51" t="s">
        <v>21</v>
      </c>
    </row>
    <row r="4" s="3" customFormat="1" ht="71" customHeight="1" spans="1:1024 1025:16384">
      <c r="A4" s="23" t="s">
        <v>22</v>
      </c>
      <c r="B4" s="24">
        <v>19</v>
      </c>
      <c r="C4" s="25">
        <v>19</v>
      </c>
      <c r="D4" s="25"/>
      <c r="E4" s="25"/>
      <c r="F4" s="25"/>
      <c r="G4" s="25"/>
      <c r="H4" s="26">
        <v>4720</v>
      </c>
      <c r="I4" s="26">
        <v>4305</v>
      </c>
      <c r="J4" s="26">
        <f t="shared" ref="J4:J15" si="0">(H4+I4)/B4*C4</f>
        <v>9025</v>
      </c>
      <c r="K4" s="26">
        <f>(H4+I4)/B4*F4*100%</f>
        <v>0</v>
      </c>
      <c r="L4" s="26">
        <v>200</v>
      </c>
      <c r="M4" s="26">
        <f>300+(H4+I4)/B4*E4+(H4+I4)/B4*G4</f>
        <v>300</v>
      </c>
      <c r="N4" s="27">
        <f>745+860.16</f>
        <v>1605.16</v>
      </c>
      <c r="O4" s="26"/>
      <c r="P4" s="26">
        <v>213</v>
      </c>
      <c r="Q4" s="26">
        <f t="shared" ref="Q4:Q15" si="1">J4+K4+L4+M4-N4-O4-P4</f>
        <v>7706.84</v>
      </c>
      <c r="R4" s="28" t="s">
        <v>23</v>
      </c>
    </row>
    <row r="5" s="3" customFormat="1" ht="70" customHeight="1" spans="1:1024 1025:16384">
      <c r="A5" s="23" t="s">
        <v>24</v>
      </c>
      <c r="B5" s="24">
        <v>19</v>
      </c>
      <c r="C5" s="25">
        <v>19</v>
      </c>
      <c r="D5" s="25"/>
      <c r="E5" s="25"/>
      <c r="F5" s="25"/>
      <c r="G5" s="25"/>
      <c r="H5" s="26">
        <f>4720</f>
        <v>4720</v>
      </c>
      <c r="I5" s="26">
        <v>2310</v>
      </c>
      <c r="J5" s="26">
        <f t="shared" si="0"/>
        <v>7030</v>
      </c>
      <c r="K5" s="26">
        <f t="shared" ref="K5:K15" si="2">(H5+I5)/B5*F5*60%</f>
        <v>0</v>
      </c>
      <c r="L5" s="26">
        <v>200</v>
      </c>
      <c r="M5" s="26">
        <f>200+(H5+I5)/B5*E5+(H5+I5)/B5*G5</f>
        <v>200</v>
      </c>
      <c r="N5" s="27">
        <f>640+440.16</f>
        <v>1080.16</v>
      </c>
      <c r="O5" s="26"/>
      <c r="P5" s="26">
        <v>213</v>
      </c>
      <c r="Q5" s="26">
        <f t="shared" si="1"/>
        <v>6136.84</v>
      </c>
      <c r="R5" s="28" t="s">
        <v>25</v>
      </c>
    </row>
    <row r="6" s="4" customFormat="1" ht="9" customHeight="1" spans="1:1024 1025:16384">
      <c r="A6" s="29"/>
      <c r="B6" s="30"/>
      <c r="C6" s="31"/>
      <c r="D6" s="31"/>
      <c r="E6" s="31"/>
      <c r="F6" s="31"/>
      <c r="G6" s="3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="3" customFormat="1" ht="78" customHeight="1" spans="1:1024 1025:16384">
      <c r="A7" s="33" t="s">
        <v>26</v>
      </c>
      <c r="B7" s="24">
        <v>19</v>
      </c>
      <c r="C7" s="25">
        <v>19</v>
      </c>
      <c r="D7" s="25"/>
      <c r="E7" s="25"/>
      <c r="F7" s="25"/>
      <c r="G7" s="25"/>
      <c r="H7" s="26">
        <v>4126</v>
      </c>
      <c r="I7" s="26">
        <v>3914</v>
      </c>
      <c r="J7" s="26">
        <f t="shared" si="0"/>
        <v>8040</v>
      </c>
      <c r="K7" s="26">
        <f t="shared" si="2"/>
        <v>0</v>
      </c>
      <c r="L7" s="26">
        <v>200</v>
      </c>
      <c r="M7" s="26">
        <f>(H7+I7)/B7*E7</f>
        <v>0</v>
      </c>
      <c r="N7" s="27"/>
      <c r="O7" s="3"/>
      <c r="P7" s="26"/>
      <c r="Q7" s="26">
        <f t="shared" si="1"/>
        <v>8240</v>
      </c>
      <c r="R7" s="54" t="s">
        <v>27</v>
      </c>
    </row>
    <row r="8" s="3" customFormat="1" ht="79" customHeight="1" spans="1:1024 1025:16384">
      <c r="A8" s="33" t="s">
        <v>28</v>
      </c>
      <c r="B8" s="24">
        <v>19</v>
      </c>
      <c r="C8" s="25">
        <f>B8-E8</f>
        <v>18</v>
      </c>
      <c r="D8" s="25"/>
      <c r="E8" s="25">
        <f>8/8</f>
        <v>1</v>
      </c>
      <c r="F8" s="25"/>
      <c r="G8" s="25"/>
      <c r="H8" s="26">
        <v>5300</v>
      </c>
      <c r="I8" s="26">
        <v>2000</v>
      </c>
      <c r="J8" s="26">
        <f t="shared" si="0"/>
        <v>6915.78947368421</v>
      </c>
      <c r="K8" s="26">
        <f t="shared" si="2"/>
        <v>0</v>
      </c>
      <c r="L8" s="26">
        <v>200</v>
      </c>
      <c r="M8" s="26">
        <f>200+(H8+I8)/B8*E8+(H8+I8)/B8*G8</f>
        <v>584.210526315789</v>
      </c>
      <c r="N8" s="27">
        <f>745+860.16</f>
        <v>1605.16</v>
      </c>
      <c r="O8" s="26"/>
      <c r="P8" s="26">
        <f>560+347</f>
        <v>907</v>
      </c>
      <c r="Q8" s="26">
        <f t="shared" si="1"/>
        <v>5187.84</v>
      </c>
      <c r="R8" s="34" t="s">
        <v>29</v>
      </c>
    </row>
    <row r="9" s="3" customFormat="1" ht="70" customHeight="1" spans="1:1024 1025:16384">
      <c r="A9" s="33" t="s">
        <v>30</v>
      </c>
      <c r="B9" s="24">
        <v>19</v>
      </c>
      <c r="C9" s="25">
        <v>19</v>
      </c>
      <c r="D9" s="25"/>
      <c r="E9" s="25"/>
      <c r="F9" s="25"/>
      <c r="G9" s="25"/>
      <c r="H9" s="26">
        <v>4400</v>
      </c>
      <c r="I9" s="26">
        <v>1300</v>
      </c>
      <c r="J9" s="26">
        <f t="shared" si="0"/>
        <v>5700</v>
      </c>
      <c r="K9" s="26">
        <f t="shared" si="2"/>
        <v>0</v>
      </c>
      <c r="L9" s="26">
        <v>200</v>
      </c>
      <c r="M9" s="26">
        <f>200+(H9+I9)/B9*E9+(H9+I9)/B9*G9+450</f>
        <v>650</v>
      </c>
      <c r="N9" s="27">
        <f>587.5+230.16</f>
        <v>817.66</v>
      </c>
      <c r="O9" s="26">
        <v>21.98</v>
      </c>
      <c r="P9" s="26">
        <v>0</v>
      </c>
      <c r="Q9" s="26">
        <f t="shared" si="1"/>
        <v>5710.36</v>
      </c>
      <c r="R9" s="34" t="s">
        <v>31</v>
      </c>
    </row>
    <row r="10" s="3" customFormat="1" ht="70" customHeight="1" spans="1:1024 1025:16384">
      <c r="A10" s="33" t="s">
        <v>32</v>
      </c>
      <c r="B10" s="24">
        <v>19</v>
      </c>
      <c r="C10" s="25">
        <f>B10-E10</f>
        <v>18.5625</v>
      </c>
      <c r="D10" s="25"/>
      <c r="E10" s="25">
        <f>3.5/8</f>
        <v>0.4375</v>
      </c>
      <c r="F10" s="25"/>
      <c r="G10" s="25"/>
      <c r="H10" s="26">
        <v>5500</v>
      </c>
      <c r="I10" s="26">
        <v>4605</v>
      </c>
      <c r="J10" s="26">
        <f t="shared" si="0"/>
        <v>9872.31907894737</v>
      </c>
      <c r="K10" s="26">
        <f t="shared" si="2"/>
        <v>0</v>
      </c>
      <c r="L10" s="26">
        <v>200</v>
      </c>
      <c r="M10" s="26">
        <f>200+(H10+I10)/B10*E10+(H10+I10)/B10*G10</f>
        <v>432.680921052632</v>
      </c>
      <c r="N10" s="27">
        <f>797.5+1070.16</f>
        <v>1867.66</v>
      </c>
      <c r="O10" s="26">
        <v>342.44</v>
      </c>
      <c r="P10" s="26">
        <v>213</v>
      </c>
      <c r="Q10" s="26">
        <f t="shared" si="1"/>
        <v>8081.9</v>
      </c>
      <c r="R10" s="34" t="s">
        <v>33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41"/>
      <c r="XEZ10" s="41"/>
      <c r="XFA10" s="41"/>
      <c r="XFB10" s="41"/>
      <c r="XFC10" s="41"/>
      <c r="XFD10" s="41"/>
    </row>
    <row r="11" s="3" customFormat="1" ht="70" customHeight="1" spans="1:1024 1025:16384">
      <c r="A11" s="33" t="s">
        <v>34</v>
      </c>
      <c r="B11" s="24">
        <v>19</v>
      </c>
      <c r="C11" s="25">
        <v>19</v>
      </c>
      <c r="D11" s="25"/>
      <c r="E11" s="25"/>
      <c r="F11" s="25"/>
      <c r="G11" s="25"/>
      <c r="H11" s="26">
        <v>5000</v>
      </c>
      <c r="I11" s="26">
        <v>5800</v>
      </c>
      <c r="J11" s="26">
        <f t="shared" si="0"/>
        <v>10800</v>
      </c>
      <c r="K11" s="26">
        <f t="shared" si="2"/>
        <v>0</v>
      </c>
      <c r="L11" s="26">
        <v>200</v>
      </c>
      <c r="M11" s="26">
        <f>200+(H11+I11)/B11*E11+(H11+I11)/B11*G11</f>
        <v>200</v>
      </c>
      <c r="N11" s="27">
        <f>797.5+1070.16</f>
        <v>1867.66</v>
      </c>
      <c r="O11" s="26">
        <v>33.59</v>
      </c>
      <c r="P11" s="26">
        <v>213</v>
      </c>
      <c r="Q11" s="26">
        <f t="shared" si="1"/>
        <v>9085.75</v>
      </c>
      <c r="R11" s="34" t="s">
        <v>35</v>
      </c>
    </row>
    <row r="12" s="3" customFormat="1" ht="70" customHeight="1" spans="1:1024 1025:16384">
      <c r="A12" s="33" t="s">
        <v>36</v>
      </c>
      <c r="B12" s="24">
        <v>19</v>
      </c>
      <c r="C12" s="25">
        <v>19</v>
      </c>
      <c r="D12" s="25"/>
      <c r="E12" s="25"/>
      <c r="F12" s="25"/>
      <c r="G12" s="25"/>
      <c r="H12" s="26">
        <v>6100</v>
      </c>
      <c r="I12" s="26">
        <v>3000</v>
      </c>
      <c r="J12" s="26">
        <f t="shared" si="0"/>
        <v>9100</v>
      </c>
      <c r="K12" s="26">
        <f t="shared" si="2"/>
        <v>0</v>
      </c>
      <c r="L12" s="26">
        <v>200</v>
      </c>
      <c r="M12" s="26">
        <f>500+(H12+I12)/B12*E12</f>
        <v>500</v>
      </c>
      <c r="N12" s="27">
        <f>797.5+630</f>
        <v>1427.5</v>
      </c>
      <c r="O12" s="26">
        <v>72.38</v>
      </c>
      <c r="P12" s="26">
        <v>960</v>
      </c>
      <c r="Q12" s="26">
        <f t="shared" si="1"/>
        <v>7340.12</v>
      </c>
      <c r="R12" s="34" t="s">
        <v>37</v>
      </c>
    </row>
    <row r="13" s="3" customFormat="1" ht="70" customHeight="1" spans="1:1024 1025:16384">
      <c r="A13" s="33" t="s">
        <v>38</v>
      </c>
      <c r="B13" s="24">
        <v>19</v>
      </c>
      <c r="C13" s="25">
        <f>B13-E13</f>
        <v>18.4375</v>
      </c>
      <c r="D13" s="25"/>
      <c r="E13" s="25">
        <f>4.5/8</f>
        <v>0.5625</v>
      </c>
      <c r="F13" s="25"/>
      <c r="G13" s="25"/>
      <c r="H13" s="26">
        <v>5300</v>
      </c>
      <c r="I13" s="26">
        <v>1500</v>
      </c>
      <c r="J13" s="26">
        <f t="shared" si="0"/>
        <v>6598.68421052632</v>
      </c>
      <c r="K13" s="26">
        <f t="shared" si="2"/>
        <v>0</v>
      </c>
      <c r="L13" s="26">
        <v>200</v>
      </c>
      <c r="M13" s="26">
        <f>(H13+I13)/B13*E13</f>
        <v>201.315789473684</v>
      </c>
      <c r="N13" s="27">
        <f>452.5</f>
        <v>452.5</v>
      </c>
      <c r="O13" s="26"/>
      <c r="P13" s="26">
        <f>156</f>
        <v>156</v>
      </c>
      <c r="Q13" s="26">
        <f t="shared" si="1"/>
        <v>6391.5</v>
      </c>
      <c r="R13" s="34" t="s">
        <v>39</v>
      </c>
      <c r="S13" s="35">
        <v>2391.5</v>
      </c>
      <c r="T13" s="3">
        <f>Q13-S13</f>
        <v>4000</v>
      </c>
    </row>
    <row r="14" s="3" customFormat="1" ht="70" customHeight="1" spans="1:1024 1025:16384">
      <c r="A14" s="33" t="s">
        <v>40</v>
      </c>
      <c r="B14" s="24">
        <v>19</v>
      </c>
      <c r="C14" s="25">
        <v>19</v>
      </c>
      <c r="D14" s="25"/>
      <c r="E14" s="25"/>
      <c r="F14" s="25"/>
      <c r="G14" s="25"/>
      <c r="H14" s="26">
        <v>4900</v>
      </c>
      <c r="I14" s="26">
        <v>800</v>
      </c>
      <c r="J14" s="26">
        <f t="shared" si="0"/>
        <v>5700</v>
      </c>
      <c r="K14" s="26">
        <f t="shared" si="2"/>
        <v>0</v>
      </c>
      <c r="L14" s="26">
        <v>200</v>
      </c>
      <c r="M14" s="26">
        <f>(H14+I14)/B14*E14+120</f>
        <v>120</v>
      </c>
      <c r="N14" s="27">
        <f>640+440.16</f>
        <v>1080.16</v>
      </c>
      <c r="O14" s="26"/>
      <c r="P14" s="26">
        <v>213</v>
      </c>
      <c r="Q14" s="26">
        <f t="shared" si="1"/>
        <v>4726.84</v>
      </c>
      <c r="R14" s="34" t="s">
        <v>41</v>
      </c>
    </row>
    <row r="15" s="3" customFormat="1" ht="70" customHeight="1" spans="1:1024 1025:16384">
      <c r="A15" s="33" t="s">
        <v>42</v>
      </c>
      <c r="B15" s="24">
        <v>19</v>
      </c>
      <c r="C15" s="25">
        <v>9</v>
      </c>
      <c r="D15" s="25"/>
      <c r="E15" s="25"/>
      <c r="F15" s="25"/>
      <c r="G15" s="25"/>
      <c r="H15" s="26">
        <v>4000</v>
      </c>
      <c r="I15" s="26">
        <v>0</v>
      </c>
      <c r="J15" s="26">
        <f t="shared" si="0"/>
        <v>1894.73684210526</v>
      </c>
      <c r="K15" s="26">
        <f t="shared" si="2"/>
        <v>0</v>
      </c>
      <c r="L15" s="26">
        <v>0</v>
      </c>
      <c r="M15" s="26">
        <f>(H15+I15)/B15*E15</f>
        <v>0</v>
      </c>
      <c r="N15" s="27">
        <v>529.96</v>
      </c>
      <c r="O15" s="26"/>
      <c r="P15" s="26">
        <v>0</v>
      </c>
      <c r="Q15" s="26">
        <f t="shared" si="1"/>
        <v>1364.77684210526</v>
      </c>
      <c r="R15" s="34"/>
    </row>
    <row r="16" s="2" customFormat="1" ht="18" customHeight="1" spans="1:1024 1025:16384">
      <c r="C16" s="5"/>
      <c r="P16" s="36" t="s">
        <v>43</v>
      </c>
      <c r="Q16" s="37">
        <f>SUM(Q4:Q15)</f>
        <v>69972.7668421053</v>
      </c>
      <c r="R16" s="38"/>
    </row>
    <row r="17" s="2" customFormat="1" spans="13:17 16376:16378">
      <c r="Q17" s="39"/>
    </row>
    <row r="18" ht="14" customHeight="1" spans="13:17 16376:16378">
      <c r="XEV18" s="6"/>
      <c r="XEW18" s="6"/>
      <c r="XEX18" s="6"/>
    </row>
    <row r="29" spans="13:17 16376:16378">
      <c r="M29" s="2" t="s">
        <v>44</v>
      </c>
    </row>
  </sheetData>
  <conditionalFormatting sqref="A4:A5">
    <cfRule type="duplicateValues" dxfId="0" priority="5"/>
  </conditionalFormatting>
  <conditionalFormatting sqref="A7:A10">
    <cfRule type="duplicateValues" dxfId="0" priority="4"/>
  </conditionalFormatting>
  <conditionalFormatting sqref="A11:A12">
    <cfRule type="duplicateValues" dxfId="0" priority="3"/>
  </conditionalFormatting>
  <conditionalFormatting sqref="A13:A15">
    <cfRule type="duplicateValues" dxfId="0" priority="2"/>
  </conditionalFormatting>
  <pageMargins left="0.75" right="0.75" top="1" bottom="1" header="0.5" footer="0.5"/>
  <pageSetup paperSize="9" scale="57" orientation="portrait"/>
  <headerFooter/>
  <colBreaks count="1" manualBreakCount="1">
    <brk id="17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zoomScale="70" zoomScaleNormal="70" topLeftCell="A8" workbookViewId="0">
      <selection activeCell="Q8" sqref="Q8"/>
    </sheetView>
  </sheetViews>
  <sheetFormatPr defaultColWidth="9" defaultRowHeight="15.5"/>
  <cols>
    <col min="1" max="1" width="12.6363636363636" style="2" customWidth="1"/>
    <col min="2" max="2" width="10.6363636363636" style="2" customWidth="1"/>
    <col min="3" max="3" width="10.6363636363636" style="5" customWidth="1"/>
    <col min="4" max="15" width="10.6363636363636" style="2" customWidth="1"/>
    <col min="16" max="16" width="9.21818181818182" style="2" customWidth="1"/>
    <col min="17" max="17" width="13.2454545454545" style="2" customWidth="1"/>
    <col min="18" max="18" width="35.1909090909091" style="2" customWidth="1"/>
    <col min="19" max="19" width="11.2909090909091" style="2" customWidth="1"/>
    <col min="20" max="20" width="20.1272727272727" style="2" customWidth="1"/>
    <col min="21" max="16378" width="9" style="2"/>
    <col min="16379" max="16384" width="9" style="6"/>
  </cols>
  <sheetData>
    <row r="1" s="1" customFormat="1" ht="30" customHeight="1" spans="1:1024 1025:16384">
      <c r="A1" s="7" t="s">
        <v>45</v>
      </c>
      <c r="B1" s="7"/>
      <c r="C1" s="8"/>
      <c r="D1" s="9"/>
      <c r="E1" s="9"/>
      <c r="F1" s="9"/>
      <c r="G1" s="9"/>
      <c r="M1" s="10"/>
      <c r="R1" s="11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</row>
    <row r="2" s="1" customFormat="1" ht="21.75" customHeight="1" spans="1:1024 1025:16384">
      <c r="A2" s="13" t="s">
        <v>1</v>
      </c>
      <c r="B2" s="13"/>
      <c r="C2" s="14"/>
      <c r="D2" s="15"/>
      <c r="E2" s="3"/>
      <c r="F2" s="3"/>
      <c r="G2" s="3"/>
      <c r="M2" s="10"/>
      <c r="R2" s="11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</row>
    <row r="3" s="2" customFormat="1" ht="46" customHeight="1" spans="1:1024 1025:16384">
      <c r="A3" s="16" t="s">
        <v>2</v>
      </c>
      <c r="B3" s="16" t="s">
        <v>3</v>
      </c>
      <c r="C3" s="17" t="s">
        <v>4</v>
      </c>
      <c r="D3" s="18" t="s">
        <v>5</v>
      </c>
      <c r="E3" s="16" t="s">
        <v>6</v>
      </c>
      <c r="F3" s="18" t="s">
        <v>7</v>
      </c>
      <c r="G3" s="18" t="s">
        <v>8</v>
      </c>
      <c r="H3" s="19" t="s">
        <v>9</v>
      </c>
      <c r="I3" s="19" t="s">
        <v>10</v>
      </c>
      <c r="J3" s="19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17</v>
      </c>
      <c r="Q3" s="19" t="s">
        <v>18</v>
      </c>
      <c r="R3" s="21" t="s">
        <v>19</v>
      </c>
      <c r="S3" s="21" t="s">
        <v>20</v>
      </c>
      <c r="T3" s="51" t="s">
        <v>21</v>
      </c>
    </row>
    <row r="4" s="3" customFormat="1" ht="71" customHeight="1" spans="1:1024 1025:16384">
      <c r="A4" s="23" t="s">
        <v>22</v>
      </c>
      <c r="B4" s="24">
        <v>21</v>
      </c>
      <c r="C4" s="25">
        <f>B4-G4</f>
        <v>20.5625</v>
      </c>
      <c r="D4" s="25"/>
      <c r="E4" s="25"/>
      <c r="F4" s="25"/>
      <c r="G4" s="25">
        <f>3.5/8</f>
        <v>0.4375</v>
      </c>
      <c r="H4" s="26">
        <v>4420</v>
      </c>
      <c r="I4" s="26">
        <v>4305</v>
      </c>
      <c r="J4" s="26">
        <f t="shared" ref="J4:J15" si="0">(H4+I4)/B4*C4</f>
        <v>8543.22916666667</v>
      </c>
      <c r="K4" s="26">
        <f>(H4+I4)/B4*F4*100%</f>
        <v>0</v>
      </c>
      <c r="L4" s="26">
        <v>200</v>
      </c>
      <c r="M4" s="26">
        <f>300+(H4+I4)/B4*E4+(H4+I4)/B4*G4</f>
        <v>481.770833333333</v>
      </c>
      <c r="N4" s="27">
        <f t="shared" ref="N4:N11" si="1">529.96</f>
        <v>529.96</v>
      </c>
      <c r="O4" s="26"/>
      <c r="P4" s="26">
        <v>213</v>
      </c>
      <c r="Q4" s="26">
        <f>J4+K4+L4+M4-N4-O4-P4</f>
        <v>8482.04</v>
      </c>
      <c r="R4" s="28" t="s">
        <v>46</v>
      </c>
    </row>
    <row r="5" s="3" customFormat="1" ht="70" customHeight="1" spans="1:1024 1025:16384">
      <c r="A5" s="23" t="s">
        <v>24</v>
      </c>
      <c r="B5" s="24">
        <v>21</v>
      </c>
      <c r="C5" s="25">
        <f>B5-F5</f>
        <v>12</v>
      </c>
      <c r="D5" s="25"/>
      <c r="E5" s="25"/>
      <c r="F5" s="25">
        <v>9</v>
      </c>
      <c r="G5" s="25"/>
      <c r="H5" s="26">
        <v>4420</v>
      </c>
      <c r="I5" s="26">
        <v>2310</v>
      </c>
      <c r="J5" s="26">
        <f t="shared" si="0"/>
        <v>3845.71428571429</v>
      </c>
      <c r="K5" s="26">
        <f>(H5+I5)/B5*F5*60%</f>
        <v>1730.57142857143</v>
      </c>
      <c r="L5" s="26">
        <v>0</v>
      </c>
      <c r="M5" s="26">
        <f>200+(H5+I5)/B5*E5+(H5+I5)/B5*G5</f>
        <v>200</v>
      </c>
      <c r="N5" s="27">
        <f t="shared" si="1"/>
        <v>529.96</v>
      </c>
      <c r="O5" s="26"/>
      <c r="P5" s="26">
        <v>213</v>
      </c>
      <c r="Q5" s="26">
        <f t="shared" ref="Q4:Q15" si="2">J5+K5+L5+M5-N5-O5-P5</f>
        <v>5033.32571428572</v>
      </c>
      <c r="R5" s="28" t="s">
        <v>47</v>
      </c>
    </row>
    <row r="6" s="4" customFormat="1" ht="9" customHeight="1" spans="1:1024 1025:16384">
      <c r="A6" s="29"/>
      <c r="B6" s="30"/>
      <c r="C6" s="31"/>
      <c r="D6" s="31"/>
      <c r="E6" s="31"/>
      <c r="F6" s="31"/>
      <c r="G6" s="3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="3" customFormat="1" ht="78" customHeight="1" spans="1:1024 1025:16384">
      <c r="A7" s="33" t="s">
        <v>26</v>
      </c>
      <c r="B7" s="24">
        <v>21</v>
      </c>
      <c r="C7" s="25">
        <v>21</v>
      </c>
      <c r="D7" s="25"/>
      <c r="E7" s="25"/>
      <c r="F7" s="25"/>
      <c r="G7" s="25"/>
      <c r="H7" s="26">
        <v>4126</v>
      </c>
      <c r="I7" s="26">
        <v>3914</v>
      </c>
      <c r="J7" s="26">
        <f>(H7+I7)/B7*C7</f>
        <v>8040</v>
      </c>
      <c r="K7" s="26">
        <f t="shared" ref="K5:K15" si="3">(H7+I7)/B7*F7*60%</f>
        <v>0</v>
      </c>
      <c r="L7" s="26">
        <v>200</v>
      </c>
      <c r="M7" s="26">
        <f>(H7+I7)/B7*E7</f>
        <v>0</v>
      </c>
      <c r="N7" s="27">
        <f t="shared" si="1"/>
        <v>529.96</v>
      </c>
      <c r="O7" s="3">
        <v>74.91</v>
      </c>
      <c r="P7" s="26">
        <f>213</f>
        <v>213</v>
      </c>
      <c r="Q7" s="26">
        <f>J7+K7+L7+M7-N7-O7-P7</f>
        <v>7422.13</v>
      </c>
      <c r="R7" s="28" t="s">
        <v>48</v>
      </c>
    </row>
    <row r="8" s="3" customFormat="1" ht="79" customHeight="1" spans="1:1024 1025:16384">
      <c r="A8" s="33" t="s">
        <v>28</v>
      </c>
      <c r="B8" s="24">
        <v>21</v>
      </c>
      <c r="C8" s="25">
        <v>21</v>
      </c>
      <c r="D8" s="25"/>
      <c r="E8" s="25"/>
      <c r="F8" s="25"/>
      <c r="G8" s="25"/>
      <c r="H8" s="26">
        <v>4800</v>
      </c>
      <c r="I8" s="26">
        <v>2000</v>
      </c>
      <c r="J8" s="26">
        <f t="shared" si="0"/>
        <v>6800</v>
      </c>
      <c r="K8" s="26">
        <f t="shared" si="3"/>
        <v>0</v>
      </c>
      <c r="L8" s="26">
        <v>200</v>
      </c>
      <c r="M8" s="26">
        <f t="shared" ref="M8:M11" si="4">200+(H8+I8)/B8*E8+(H8+I8)/B8*G8</f>
        <v>200</v>
      </c>
      <c r="N8" s="27">
        <f t="shared" si="1"/>
        <v>529.96</v>
      </c>
      <c r="O8" s="26"/>
      <c r="P8" s="26">
        <f>560+347</f>
        <v>907</v>
      </c>
      <c r="Q8" s="26">
        <f t="shared" si="2"/>
        <v>5763.04</v>
      </c>
      <c r="R8" s="34" t="s">
        <v>49</v>
      </c>
    </row>
    <row r="9" s="3" customFormat="1" ht="70" customHeight="1" spans="1:1024 1025:16384">
      <c r="A9" s="33" t="s">
        <v>30</v>
      </c>
      <c r="B9" s="24">
        <v>21</v>
      </c>
      <c r="C9" s="25">
        <v>21</v>
      </c>
      <c r="D9" s="25"/>
      <c r="E9" s="25"/>
      <c r="F9" s="25"/>
      <c r="G9" s="25"/>
      <c r="H9" s="26">
        <v>4000</v>
      </c>
      <c r="I9" s="26">
        <v>1300</v>
      </c>
      <c r="J9" s="26">
        <f t="shared" si="0"/>
        <v>5300</v>
      </c>
      <c r="K9" s="26">
        <f t="shared" si="3"/>
        <v>0</v>
      </c>
      <c r="L9" s="26">
        <v>200</v>
      </c>
      <c r="M9" s="26">
        <f>200+(H9+I9)/B9*E9+(H9+I9)/B9*G9+540</f>
        <v>740</v>
      </c>
      <c r="N9" s="27">
        <f t="shared" si="1"/>
        <v>529.96</v>
      </c>
      <c r="O9" s="26">
        <v>21</v>
      </c>
      <c r="P9" s="26">
        <v>0</v>
      </c>
      <c r="Q9" s="26">
        <f t="shared" si="2"/>
        <v>5689.04</v>
      </c>
      <c r="R9" s="34" t="s">
        <v>50</v>
      </c>
    </row>
    <row r="10" s="3" customFormat="1" ht="70" customHeight="1" spans="1:1024 1025:16384">
      <c r="A10" s="33" t="s">
        <v>32</v>
      </c>
      <c r="B10" s="24">
        <v>21</v>
      </c>
      <c r="C10" s="25">
        <f>B10-E10</f>
        <v>20.5625</v>
      </c>
      <c r="D10" s="25"/>
      <c r="E10" s="25">
        <f>3.5/8</f>
        <v>0.4375</v>
      </c>
      <c r="F10" s="25"/>
      <c r="G10" s="25"/>
      <c r="H10" s="26">
        <v>4500</v>
      </c>
      <c r="I10" s="26">
        <v>3500</v>
      </c>
      <c r="J10" s="26">
        <f t="shared" si="0"/>
        <v>7833.33333333333</v>
      </c>
      <c r="K10" s="26">
        <f t="shared" si="3"/>
        <v>0</v>
      </c>
      <c r="L10" s="26">
        <v>200</v>
      </c>
      <c r="M10" s="26">
        <f t="shared" si="4"/>
        <v>366.666666666667</v>
      </c>
      <c r="N10" s="27">
        <f t="shared" si="1"/>
        <v>529.96</v>
      </c>
      <c r="O10" s="26">
        <v>265.7</v>
      </c>
      <c r="P10" s="26">
        <v>213</v>
      </c>
      <c r="Q10" s="26">
        <f t="shared" si="2"/>
        <v>7391.34</v>
      </c>
      <c r="R10" s="34" t="s">
        <v>51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41"/>
      <c r="XEZ10" s="41"/>
      <c r="XFA10" s="41"/>
      <c r="XFB10" s="41"/>
      <c r="XFC10" s="41"/>
      <c r="XFD10" s="41"/>
    </row>
    <row r="11" s="3" customFormat="1" ht="70" customHeight="1" spans="1:1024 1025:16384">
      <c r="A11" s="33" t="s">
        <v>34</v>
      </c>
      <c r="B11" s="24">
        <v>21</v>
      </c>
      <c r="C11" s="25">
        <v>21</v>
      </c>
      <c r="D11" s="25"/>
      <c r="E11" s="25"/>
      <c r="F11" s="25"/>
      <c r="G11" s="25"/>
      <c r="H11" s="26">
        <v>5000</v>
      </c>
      <c r="I11" s="26">
        <v>5800</v>
      </c>
      <c r="J11" s="26">
        <f t="shared" si="0"/>
        <v>10800</v>
      </c>
      <c r="K11" s="26">
        <f t="shared" si="3"/>
        <v>0</v>
      </c>
      <c r="L11" s="26">
        <v>200</v>
      </c>
      <c r="M11" s="26">
        <f t="shared" si="4"/>
        <v>200</v>
      </c>
      <c r="N11" s="27">
        <f t="shared" si="1"/>
        <v>529.96</v>
      </c>
      <c r="O11" s="26">
        <v>73.71</v>
      </c>
      <c r="P11" s="26">
        <v>213</v>
      </c>
      <c r="Q11" s="26">
        <f t="shared" si="2"/>
        <v>10383.33</v>
      </c>
      <c r="R11" s="34" t="s">
        <v>52</v>
      </c>
    </row>
    <row r="12" s="3" customFormat="1" ht="70" customHeight="1" spans="1:1024 1025:16384">
      <c r="A12" s="33" t="s">
        <v>36</v>
      </c>
      <c r="B12" s="24">
        <v>21</v>
      </c>
      <c r="C12" s="25">
        <v>21</v>
      </c>
      <c r="D12" s="25"/>
      <c r="E12" s="25"/>
      <c r="F12" s="25"/>
      <c r="G12" s="25"/>
      <c r="H12" s="26">
        <v>6000</v>
      </c>
      <c r="I12" s="26">
        <v>2800</v>
      </c>
      <c r="J12" s="26">
        <f t="shared" si="0"/>
        <v>8800</v>
      </c>
      <c r="K12" s="26">
        <f t="shared" si="3"/>
        <v>0</v>
      </c>
      <c r="L12" s="26">
        <v>200</v>
      </c>
      <c r="M12" s="26">
        <f>500+(H12+I12)/B12*E12</f>
        <v>500</v>
      </c>
      <c r="N12" s="27">
        <v>640</v>
      </c>
      <c r="O12" s="26">
        <v>87</v>
      </c>
      <c r="P12" s="26">
        <v>960</v>
      </c>
      <c r="Q12" s="26">
        <f t="shared" si="2"/>
        <v>7813</v>
      </c>
      <c r="R12" s="34" t="s">
        <v>53</v>
      </c>
    </row>
    <row r="13" s="3" customFormat="1" ht="70" customHeight="1" spans="1:1024 1025:16384">
      <c r="A13" s="33" t="s">
        <v>38</v>
      </c>
      <c r="B13" s="24">
        <v>21</v>
      </c>
      <c r="C13" s="25">
        <v>21</v>
      </c>
      <c r="D13" s="25"/>
      <c r="E13" s="25"/>
      <c r="F13" s="25"/>
      <c r="G13" s="25"/>
      <c r="H13" s="26">
        <v>5300</v>
      </c>
      <c r="I13" s="26">
        <v>1500</v>
      </c>
      <c r="J13" s="26">
        <f t="shared" si="0"/>
        <v>6800</v>
      </c>
      <c r="K13" s="26">
        <f t="shared" si="3"/>
        <v>0</v>
      </c>
      <c r="L13" s="26">
        <v>200</v>
      </c>
      <c r="M13" s="26">
        <f>(H13+I13)/B13*E13</f>
        <v>0</v>
      </c>
      <c r="N13" s="27">
        <f>452.5</f>
        <v>452.5</v>
      </c>
      <c r="O13" s="26"/>
      <c r="P13" s="26">
        <f>156</f>
        <v>156</v>
      </c>
      <c r="Q13" s="26">
        <f t="shared" si="2"/>
        <v>6391.5</v>
      </c>
      <c r="R13" s="34" t="s">
        <v>54</v>
      </c>
      <c r="S13" s="35">
        <v>2391.5</v>
      </c>
      <c r="T13" s="3">
        <f>Q13-S13</f>
        <v>4000</v>
      </c>
    </row>
    <row r="14" s="3" customFormat="1" ht="70" customHeight="1" spans="1:1024 1025:16384">
      <c r="A14" s="33" t="s">
        <v>40</v>
      </c>
      <c r="B14" s="24">
        <v>21</v>
      </c>
      <c r="C14" s="25">
        <f>B14-E14</f>
        <v>17</v>
      </c>
      <c r="D14" s="25"/>
      <c r="E14" s="25">
        <v>4</v>
      </c>
      <c r="F14" s="25"/>
      <c r="G14" s="25"/>
      <c r="H14" s="26">
        <v>4500</v>
      </c>
      <c r="I14" s="26">
        <v>800</v>
      </c>
      <c r="J14" s="26">
        <f t="shared" si="0"/>
        <v>4290.47619047619</v>
      </c>
      <c r="K14" s="26">
        <f t="shared" si="3"/>
        <v>0</v>
      </c>
      <c r="L14" s="26">
        <v>200</v>
      </c>
      <c r="M14" s="26">
        <f>(H14+I14)/B14*E14+540</f>
        <v>1549.52380952381</v>
      </c>
      <c r="N14" s="27">
        <f>529.96</f>
        <v>529.96</v>
      </c>
      <c r="O14" s="26"/>
      <c r="P14" s="26">
        <v>213</v>
      </c>
      <c r="Q14" s="26">
        <f t="shared" si="2"/>
        <v>5297.04</v>
      </c>
      <c r="R14" s="34" t="s">
        <v>55</v>
      </c>
    </row>
    <row r="15" s="3" customFormat="1" ht="70" customHeight="1" spans="1:1024 1025:16384">
      <c r="A15" s="33" t="s">
        <v>42</v>
      </c>
      <c r="B15" s="24">
        <v>21</v>
      </c>
      <c r="C15" s="25">
        <f>B15-D15</f>
        <v>20</v>
      </c>
      <c r="D15" s="25">
        <v>1</v>
      </c>
      <c r="E15" s="25"/>
      <c r="F15" s="25"/>
      <c r="G15" s="25"/>
      <c r="H15" s="26">
        <v>4000</v>
      </c>
      <c r="I15" s="26">
        <v>0</v>
      </c>
      <c r="J15" s="26">
        <f t="shared" si="0"/>
        <v>3809.52380952381</v>
      </c>
      <c r="K15" s="26">
        <f t="shared" si="3"/>
        <v>0</v>
      </c>
      <c r="L15" s="26">
        <v>0</v>
      </c>
      <c r="M15" s="26">
        <f>(H15+I15)/B15*E15</f>
        <v>0</v>
      </c>
      <c r="N15" s="27">
        <v>529.96</v>
      </c>
      <c r="O15" s="26"/>
      <c r="P15" s="26">
        <v>240</v>
      </c>
      <c r="Q15" s="26">
        <f t="shared" si="2"/>
        <v>3039.56380952381</v>
      </c>
      <c r="R15" s="34" t="s">
        <v>56</v>
      </c>
    </row>
    <row r="16" s="2" customFormat="1" ht="18" customHeight="1" spans="1:1024 1025:16384">
      <c r="C16" s="5"/>
      <c r="P16" s="36" t="s">
        <v>43</v>
      </c>
      <c r="Q16" s="37">
        <f>SUM(Q4:Q15)</f>
        <v>72705.3495238095</v>
      </c>
      <c r="R16" s="38"/>
    </row>
    <row r="17" s="2" customFormat="1" spans="1:1024 1025:16384">
      <c r="Q17" s="39"/>
    </row>
    <row r="18" ht="14" customHeight="1" spans="1:1024 1025:16384">
      <c r="XEV18" s="6"/>
      <c r="XEW18" s="6"/>
      <c r="XEX18" s="6"/>
    </row>
    <row r="19" s="2" customFormat="1" ht="46" customHeight="1" spans="1:1024 1025:16384">
      <c r="A19" s="16" t="s">
        <v>2</v>
      </c>
      <c r="B19" s="16" t="s">
        <v>3</v>
      </c>
      <c r="C19" s="17" t="s">
        <v>4</v>
      </c>
      <c r="D19" s="18" t="s">
        <v>5</v>
      </c>
      <c r="E19" s="16" t="s">
        <v>6</v>
      </c>
      <c r="F19" s="18" t="s">
        <v>7</v>
      </c>
      <c r="G19" s="17" t="s">
        <v>8</v>
      </c>
      <c r="H19" s="17" t="s">
        <v>9</v>
      </c>
      <c r="I19" s="17" t="s">
        <v>10</v>
      </c>
      <c r="J19" s="52" t="s">
        <v>57</v>
      </c>
      <c r="K19" s="52" t="s">
        <v>58</v>
      </c>
      <c r="L19" s="17" t="s">
        <v>11</v>
      </c>
      <c r="M19" s="52" t="s">
        <v>12</v>
      </c>
      <c r="N19" s="52" t="s">
        <v>13</v>
      </c>
      <c r="O19" s="52" t="s">
        <v>14</v>
      </c>
      <c r="P19" s="52" t="s">
        <v>15</v>
      </c>
      <c r="Q19" s="52" t="s">
        <v>16</v>
      </c>
      <c r="R19" s="17" t="s">
        <v>18</v>
      </c>
      <c r="S19" s="21" t="s">
        <v>19</v>
      </c>
    </row>
    <row r="20" s="50" customFormat="1" ht="35" customHeight="1" spans="1:1024 1025:16384">
      <c r="A20" s="33" t="s">
        <v>59</v>
      </c>
      <c r="B20" s="45">
        <v>21</v>
      </c>
      <c r="C20" s="46">
        <v>16</v>
      </c>
      <c r="D20" s="45"/>
      <c r="E20" s="45"/>
      <c r="F20" s="45"/>
      <c r="G20" s="46"/>
      <c r="H20" s="46">
        <v>5000</v>
      </c>
      <c r="I20" s="46">
        <v>500</v>
      </c>
      <c r="J20" s="46">
        <v>1000</v>
      </c>
      <c r="K20" s="46">
        <v>300</v>
      </c>
      <c r="L20" s="46">
        <f>(H20+I20+J20+K20)/B20*C20</f>
        <v>5180.95238095238</v>
      </c>
      <c r="M20" s="46">
        <v>0</v>
      </c>
      <c r="N20" s="46">
        <v>0</v>
      </c>
      <c r="O20" s="46">
        <v>1409</v>
      </c>
      <c r="P20" s="46">
        <v>0</v>
      </c>
      <c r="Q20" s="46">
        <v>0</v>
      </c>
      <c r="R20" s="46">
        <f>L20+M20+N20+O20-P20-Q20</f>
        <v>6589.95238095238</v>
      </c>
      <c r="S20" s="53" t="s">
        <v>60</v>
      </c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9"/>
      <c r="XEW20" s="49"/>
      <c r="XEX20" s="49"/>
      <c r="XEY20" s="49"/>
      <c r="XEZ20" s="49"/>
      <c r="XFA20" s="49"/>
      <c r="XFB20" s="49"/>
      <c r="XFC20" s="49"/>
      <c r="XFD20" s="49"/>
    </row>
    <row r="21" ht="18.5" spans="1:1024 1025:16384">
      <c r="P21" s="36" t="s">
        <v>43</v>
      </c>
      <c r="Q21" s="37">
        <f>Q16+R20</f>
        <v>79295.3019047619</v>
      </c>
    </row>
  </sheetData>
  <conditionalFormatting sqref="A20">
    <cfRule type="duplicateValues" dxfId="0" priority="1"/>
  </conditionalFormatting>
  <conditionalFormatting sqref="A4:A5">
    <cfRule type="duplicateValues" dxfId="0" priority="5"/>
  </conditionalFormatting>
  <conditionalFormatting sqref="A7:A10">
    <cfRule type="duplicateValues" dxfId="0" priority="4"/>
  </conditionalFormatting>
  <conditionalFormatting sqref="A11:A12">
    <cfRule type="duplicateValues" dxfId="0" priority="3"/>
  </conditionalFormatting>
  <conditionalFormatting sqref="A13:A15">
    <cfRule type="duplicateValues" dxfId="0" priority="2"/>
  </conditionalFormatting>
  <pageMargins left="0.75" right="0.75" top="1" bottom="1" header="0.5" footer="0.5"/>
  <pageSetup paperSize="9" scale="57" orientation="portrait"/>
  <headerFooter/>
  <colBreaks count="1" manualBreakCount="1">
    <brk id="17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zoomScale="70" zoomScaleNormal="70" topLeftCell="A9" workbookViewId="0">
      <selection activeCell="C15" sqref="C15"/>
    </sheetView>
  </sheetViews>
  <sheetFormatPr defaultColWidth="9" defaultRowHeight="15.5"/>
  <cols>
    <col min="1" max="1" width="12.6363636363636" style="2" customWidth="1"/>
    <col min="2" max="2" width="10.6363636363636" style="2" customWidth="1"/>
    <col min="3" max="3" width="10.6363636363636" style="5" customWidth="1"/>
    <col min="4" max="15" width="10.6363636363636" style="2" customWidth="1"/>
    <col min="16" max="16" width="9.21818181818182" style="2" customWidth="1"/>
    <col min="17" max="17" width="13.2454545454545" style="2" customWidth="1"/>
    <col min="18" max="18" width="35.1909090909091" style="2" customWidth="1"/>
    <col min="19" max="19" width="11.2909090909091" style="2" customWidth="1"/>
    <col min="20" max="20" width="20.1272727272727" style="2" customWidth="1"/>
    <col min="21" max="16378" width="9" style="2"/>
    <col min="16379" max="16384" width="9" style="6"/>
  </cols>
  <sheetData>
    <row r="1" s="1" customFormat="1" ht="30" customHeight="1" spans="1:1024 1025:16384">
      <c r="A1" s="7" t="s">
        <v>61</v>
      </c>
      <c r="B1" s="7"/>
      <c r="C1" s="8"/>
      <c r="D1" s="9"/>
      <c r="E1" s="9"/>
      <c r="F1" s="9"/>
      <c r="G1" s="9"/>
      <c r="M1" s="10"/>
      <c r="R1" s="11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</row>
    <row r="2" s="1" customFormat="1" ht="21.75" customHeight="1" spans="1:1024 1025:16384">
      <c r="A2" s="13" t="s">
        <v>1</v>
      </c>
      <c r="B2" s="13"/>
      <c r="C2" s="14"/>
      <c r="D2" s="15"/>
      <c r="E2" s="3"/>
      <c r="F2" s="3"/>
      <c r="G2" s="3"/>
      <c r="M2" s="10"/>
      <c r="R2" s="11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</row>
    <row r="3" s="2" customFormat="1" ht="46" customHeight="1" spans="1:1024 1025:16384">
      <c r="A3" s="16" t="s">
        <v>2</v>
      </c>
      <c r="B3" s="16" t="s">
        <v>3</v>
      </c>
      <c r="C3" s="17" t="s">
        <v>4</v>
      </c>
      <c r="D3" s="18" t="s">
        <v>5</v>
      </c>
      <c r="E3" s="16" t="s">
        <v>6</v>
      </c>
      <c r="F3" s="18" t="s">
        <v>7</v>
      </c>
      <c r="G3" s="18" t="s">
        <v>8</v>
      </c>
      <c r="H3" s="19" t="s">
        <v>9</v>
      </c>
      <c r="I3" s="19" t="s">
        <v>10</v>
      </c>
      <c r="J3" s="19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17</v>
      </c>
      <c r="Q3" s="19" t="s">
        <v>18</v>
      </c>
      <c r="R3" s="21" t="s">
        <v>19</v>
      </c>
      <c r="S3" s="21" t="s">
        <v>62</v>
      </c>
      <c r="T3" s="22" t="s">
        <v>63</v>
      </c>
    </row>
    <row r="4" s="3" customFormat="1" ht="71" customHeight="1" spans="1:1024 1025:16384">
      <c r="A4" s="23" t="s">
        <v>22</v>
      </c>
      <c r="B4" s="24">
        <v>22</v>
      </c>
      <c r="C4" s="25">
        <f>B4-F4-E4-G4</f>
        <v>22</v>
      </c>
      <c r="D4" s="25"/>
      <c r="E4" s="25"/>
      <c r="F4" s="25"/>
      <c r="G4" s="25"/>
      <c r="H4" s="26">
        <v>4420</v>
      </c>
      <c r="I4" s="26">
        <v>4305</v>
      </c>
      <c r="J4" s="26">
        <f>(H4+I4)/B4*C4</f>
        <v>8725</v>
      </c>
      <c r="K4" s="26">
        <f>(H4+I4)/B4*F4*100%</f>
        <v>0</v>
      </c>
      <c r="L4" s="26">
        <v>200</v>
      </c>
      <c r="M4" s="26">
        <f>300+(H4+I4)/B4*E4+(H4+I4)/B4*G4+3600</f>
        <v>3900</v>
      </c>
      <c r="N4" s="27">
        <f t="shared" ref="N4:N11" si="0">529.96</f>
        <v>529.96</v>
      </c>
      <c r="O4" s="26"/>
      <c r="P4" s="26">
        <v>213</v>
      </c>
      <c r="Q4" s="26">
        <f>J4+K4+L4+M4-N4-O4-P4</f>
        <v>12082.04</v>
      </c>
      <c r="R4" s="28" t="s">
        <v>64</v>
      </c>
    </row>
    <row r="5" s="3" customFormat="1" ht="70" customHeight="1" spans="1:1024 1025:16384">
      <c r="A5" s="23" t="s">
        <v>24</v>
      </c>
      <c r="B5" s="24">
        <v>22</v>
      </c>
      <c r="C5" s="25">
        <v>10</v>
      </c>
      <c r="D5" s="25"/>
      <c r="E5" s="25"/>
      <c r="F5" s="25">
        <v>7</v>
      </c>
      <c r="G5" s="25">
        <v>5</v>
      </c>
      <c r="H5" s="26">
        <v>4420</v>
      </c>
      <c r="I5" s="26">
        <v>2310</v>
      </c>
      <c r="J5" s="26">
        <f>(H5+I5)/B5*C5</f>
        <v>3059.09090909091</v>
      </c>
      <c r="K5" s="26">
        <f>(H5+I5)/B5*F5*60%</f>
        <v>1284.81818181818</v>
      </c>
      <c r="L5" s="26">
        <v>0</v>
      </c>
      <c r="M5" s="26">
        <f>200+(H5+I5)/B5*E5+(H5+I5)/B5*G5+2400</f>
        <v>4129.54545454545</v>
      </c>
      <c r="N5" s="27">
        <f t="shared" si="0"/>
        <v>529.96</v>
      </c>
      <c r="O5" s="26">
        <v>33.53</v>
      </c>
      <c r="P5" s="26">
        <v>213</v>
      </c>
      <c r="Q5" s="26">
        <f>J5+K5+L5+M5-N5-O5-P5</f>
        <v>7696.96454545454</v>
      </c>
      <c r="R5" s="28" t="s">
        <v>65</v>
      </c>
    </row>
    <row r="6" s="4" customFormat="1" ht="9" customHeight="1" spans="1:1024 1025:16384">
      <c r="A6" s="29"/>
      <c r="B6" s="30"/>
      <c r="C6" s="31"/>
      <c r="D6" s="31"/>
      <c r="E6" s="31"/>
      <c r="F6" s="31"/>
      <c r="G6" s="3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="3" customFormat="1" ht="78" customHeight="1" spans="1:1024 1025:16384">
      <c r="A7" s="33" t="s">
        <v>26</v>
      </c>
      <c r="B7" s="24">
        <v>22</v>
      </c>
      <c r="C7" s="25">
        <f>B7-E7-D7</f>
        <v>21.4375</v>
      </c>
      <c r="D7" s="25"/>
      <c r="E7" s="25">
        <f>4.5/8</f>
        <v>0.5625</v>
      </c>
      <c r="F7" s="25"/>
      <c r="G7" s="25"/>
      <c r="H7" s="26">
        <v>4126</v>
      </c>
      <c r="I7" s="26">
        <v>3914</v>
      </c>
      <c r="J7" s="26">
        <f t="shared" ref="J7:J17" si="1">(H7+I7)/B7*C7</f>
        <v>7834.43181818182</v>
      </c>
      <c r="K7" s="26">
        <f t="shared" ref="K5:K17" si="2">(H7+I7)/B7*F7*60%</f>
        <v>0</v>
      </c>
      <c r="L7" s="26">
        <v>200</v>
      </c>
      <c r="M7" s="26">
        <f>200+(H7+I7)/B7*E7</f>
        <v>405.568181818182</v>
      </c>
      <c r="N7" s="27">
        <f>529.96</f>
        <v>529.96</v>
      </c>
      <c r="O7" s="3">
        <v>70.11</v>
      </c>
      <c r="P7" s="26">
        <f>213+360</f>
        <v>573</v>
      </c>
      <c r="Q7" s="26">
        <f t="shared" ref="Q7:Q17" si="3">J7+K7+L7+M7-N7-O7-P7</f>
        <v>7266.93</v>
      </c>
      <c r="R7" s="28" t="s">
        <v>66</v>
      </c>
    </row>
    <row r="8" s="3" customFormat="1" ht="79" customHeight="1" spans="1:1024 1025:16384">
      <c r="A8" s="33" t="s">
        <v>28</v>
      </c>
      <c r="B8" s="24">
        <v>22</v>
      </c>
      <c r="C8" s="25">
        <f>B8-E8</f>
        <v>21.5625</v>
      </c>
      <c r="D8" s="25"/>
      <c r="E8" s="25">
        <f>3.5/8</f>
        <v>0.4375</v>
      </c>
      <c r="F8" s="25"/>
      <c r="G8" s="25"/>
      <c r="H8" s="26">
        <v>4800</v>
      </c>
      <c r="I8" s="26">
        <v>2000</v>
      </c>
      <c r="J8" s="26">
        <f t="shared" si="1"/>
        <v>6664.77272727273</v>
      </c>
      <c r="K8" s="26">
        <f t="shared" si="2"/>
        <v>0</v>
      </c>
      <c r="L8" s="26">
        <v>200</v>
      </c>
      <c r="M8" s="26">
        <f>200+(H8+I8)/B8*E8+(H8+I8)/B8*G8</f>
        <v>335.227272727273</v>
      </c>
      <c r="N8" s="27">
        <f t="shared" si="0"/>
        <v>529.96</v>
      </c>
      <c r="O8" s="26"/>
      <c r="P8" s="26">
        <f>560+347+90</f>
        <v>997</v>
      </c>
      <c r="Q8" s="26">
        <f t="shared" si="3"/>
        <v>5673.04</v>
      </c>
      <c r="R8" s="34" t="s">
        <v>67</v>
      </c>
    </row>
    <row r="9" s="3" customFormat="1" ht="70" customHeight="1" spans="1:1024 1025:16384">
      <c r="A9" s="33" t="s">
        <v>30</v>
      </c>
      <c r="B9" s="24">
        <v>22</v>
      </c>
      <c r="C9" s="25">
        <f>B9-E9</f>
        <v>19</v>
      </c>
      <c r="D9" s="25"/>
      <c r="E9" s="25">
        <v>3</v>
      </c>
      <c r="F9" s="25"/>
      <c r="G9" s="25"/>
      <c r="H9" s="26">
        <v>4000</v>
      </c>
      <c r="I9" s="26">
        <v>1300</v>
      </c>
      <c r="J9" s="26">
        <f t="shared" si="1"/>
        <v>4577.27272727273</v>
      </c>
      <c r="K9" s="26">
        <f t="shared" si="2"/>
        <v>0</v>
      </c>
      <c r="L9" s="26">
        <v>200</v>
      </c>
      <c r="M9" s="26">
        <f>200+(H9+I9)/B9*E9+(H9+I9)/B9*G9</f>
        <v>922.727272727273</v>
      </c>
      <c r="N9" s="27">
        <f t="shared" si="0"/>
        <v>529.96</v>
      </c>
      <c r="O9" s="26"/>
      <c r="P9" s="26">
        <v>180</v>
      </c>
      <c r="Q9" s="26">
        <f t="shared" si="3"/>
        <v>4990.04</v>
      </c>
      <c r="R9" s="34" t="s">
        <v>68</v>
      </c>
    </row>
    <row r="10" s="3" customFormat="1" ht="70" customHeight="1" spans="1:1024 1025:16384">
      <c r="A10" s="33" t="s">
        <v>32</v>
      </c>
      <c r="B10" s="24">
        <v>22</v>
      </c>
      <c r="C10" s="25">
        <f t="shared" ref="C8:C10" si="4">B10-E10</f>
        <v>20</v>
      </c>
      <c r="D10" s="25"/>
      <c r="E10" s="25">
        <v>2</v>
      </c>
      <c r="F10" s="25"/>
      <c r="G10" s="25"/>
      <c r="H10" s="26">
        <v>4500</v>
      </c>
      <c r="I10" s="26">
        <v>3500</v>
      </c>
      <c r="J10" s="26">
        <f t="shared" si="1"/>
        <v>7272.72727272727</v>
      </c>
      <c r="K10" s="26">
        <f t="shared" si="2"/>
        <v>0</v>
      </c>
      <c r="L10" s="26">
        <v>200</v>
      </c>
      <c r="M10" s="26">
        <f>200+(H10+I10)/B10*E10+(H10+I10)/B10*G10+3000+600</f>
        <v>4527.27272727273</v>
      </c>
      <c r="N10" s="27">
        <f t="shared" si="0"/>
        <v>529.96</v>
      </c>
      <c r="O10" s="26">
        <v>187.71</v>
      </c>
      <c r="P10" s="26">
        <v>213</v>
      </c>
      <c r="Q10" s="26">
        <f t="shared" si="3"/>
        <v>11069.33</v>
      </c>
      <c r="R10" s="34" t="s">
        <v>69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41"/>
      <c r="XEZ10" s="41"/>
      <c r="XFA10" s="41"/>
      <c r="XFB10" s="41"/>
      <c r="XFC10" s="41"/>
      <c r="XFD10" s="41"/>
    </row>
    <row r="11" s="3" customFormat="1" ht="70" customHeight="1" spans="1:1024 1025:16384">
      <c r="A11" s="33" t="s">
        <v>34</v>
      </c>
      <c r="B11" s="24">
        <v>22</v>
      </c>
      <c r="C11" s="25">
        <v>22</v>
      </c>
      <c r="D11" s="25"/>
      <c r="E11" s="25"/>
      <c r="F11" s="25"/>
      <c r="G11" s="25"/>
      <c r="H11" s="26">
        <v>5000</v>
      </c>
      <c r="I11" s="26">
        <v>5800</v>
      </c>
      <c r="J11" s="26">
        <f t="shared" si="1"/>
        <v>10800</v>
      </c>
      <c r="K11" s="26">
        <f t="shared" si="2"/>
        <v>0</v>
      </c>
      <c r="L11" s="26">
        <v>200</v>
      </c>
      <c r="M11" s="26">
        <f>200+(H11+I11)/B11*E11+(H11+I11)/B11*G11</f>
        <v>200</v>
      </c>
      <c r="N11" s="27">
        <f t="shared" si="0"/>
        <v>529.96</v>
      </c>
      <c r="O11" s="26">
        <v>73.71</v>
      </c>
      <c r="P11" s="26">
        <v>213</v>
      </c>
      <c r="Q11" s="26">
        <f t="shared" si="3"/>
        <v>10383.33</v>
      </c>
      <c r="R11" s="34" t="s">
        <v>70</v>
      </c>
    </row>
    <row r="12" s="3" customFormat="1" ht="70" customHeight="1" spans="1:1024 1025:16384">
      <c r="A12" s="33" t="s">
        <v>36</v>
      </c>
      <c r="B12" s="24">
        <v>22</v>
      </c>
      <c r="C12" s="25">
        <v>22</v>
      </c>
      <c r="D12" s="25"/>
      <c r="E12" s="25"/>
      <c r="F12" s="25"/>
      <c r="G12" s="25"/>
      <c r="H12" s="26">
        <v>6000</v>
      </c>
      <c r="I12" s="26">
        <v>2800</v>
      </c>
      <c r="J12" s="26">
        <f t="shared" si="1"/>
        <v>8800</v>
      </c>
      <c r="K12" s="26">
        <f t="shared" si="2"/>
        <v>0</v>
      </c>
      <c r="L12" s="26">
        <v>200</v>
      </c>
      <c r="M12" s="26">
        <f>500+(H12+I12)/B12*E12</f>
        <v>500</v>
      </c>
      <c r="N12" s="27">
        <v>640</v>
      </c>
      <c r="O12" s="26">
        <v>87</v>
      </c>
      <c r="P12" s="26">
        <v>960</v>
      </c>
      <c r="Q12" s="26">
        <f t="shared" si="3"/>
        <v>7813</v>
      </c>
      <c r="R12" s="34" t="s">
        <v>71</v>
      </c>
    </row>
    <row r="13" s="3" customFormat="1" ht="70" customHeight="1" spans="1:1024 1025:16384">
      <c r="A13" s="33" t="s">
        <v>38</v>
      </c>
      <c r="B13" s="24">
        <v>22</v>
      </c>
      <c r="C13" s="25">
        <f>B13-E13</f>
        <v>21</v>
      </c>
      <c r="D13" s="25"/>
      <c r="E13" s="25">
        <v>1</v>
      </c>
      <c r="F13" s="25"/>
      <c r="G13" s="25"/>
      <c r="H13" s="26">
        <v>5300</v>
      </c>
      <c r="I13" s="26">
        <v>1500</v>
      </c>
      <c r="J13" s="26">
        <f t="shared" si="1"/>
        <v>6490.90909090909</v>
      </c>
      <c r="K13" s="26">
        <f t="shared" si="2"/>
        <v>0</v>
      </c>
      <c r="L13" s="26">
        <v>200</v>
      </c>
      <c r="M13" s="26">
        <f>(H13+I13)/B13*E13</f>
        <v>309.090909090909</v>
      </c>
      <c r="N13" s="27">
        <f>452.5</f>
        <v>452.5</v>
      </c>
      <c r="O13" s="26"/>
      <c r="P13" s="26">
        <f>156</f>
        <v>156</v>
      </c>
      <c r="Q13" s="26">
        <f t="shared" si="3"/>
        <v>6391.5</v>
      </c>
      <c r="R13" s="34" t="s">
        <v>72</v>
      </c>
      <c r="S13" s="35">
        <v>2391.5</v>
      </c>
      <c r="T13" s="3">
        <f>Q13-S13</f>
        <v>4000</v>
      </c>
    </row>
    <row r="14" s="3" customFormat="1" ht="70" customHeight="1" spans="1:1024 1025:16384">
      <c r="A14" s="33" t="s">
        <v>40</v>
      </c>
      <c r="B14" s="24">
        <v>22</v>
      </c>
      <c r="C14" s="25">
        <v>22</v>
      </c>
      <c r="D14" s="25"/>
      <c r="E14" s="25"/>
      <c r="F14" s="25"/>
      <c r="G14" s="25"/>
      <c r="H14" s="26">
        <v>4500</v>
      </c>
      <c r="I14" s="26">
        <v>800</v>
      </c>
      <c r="J14" s="26">
        <f t="shared" si="1"/>
        <v>5300</v>
      </c>
      <c r="K14" s="26">
        <f t="shared" si="2"/>
        <v>0</v>
      </c>
      <c r="L14" s="26">
        <v>200</v>
      </c>
      <c r="M14" s="26">
        <f>2400+60</f>
        <v>2460</v>
      </c>
      <c r="N14" s="27">
        <f>529.96</f>
        <v>529.96</v>
      </c>
      <c r="O14" s="26">
        <v>60.93</v>
      </c>
      <c r="P14" s="26">
        <v>213</v>
      </c>
      <c r="Q14" s="26">
        <f t="shared" si="3"/>
        <v>7156.11</v>
      </c>
      <c r="R14" s="34" t="s">
        <v>73</v>
      </c>
    </row>
    <row r="15" s="3" customFormat="1" ht="70" customHeight="1" spans="1:1024 1025:16384">
      <c r="A15" s="33" t="s">
        <v>42</v>
      </c>
      <c r="B15" s="24">
        <v>22</v>
      </c>
      <c r="C15" s="25">
        <f>B15-E15-D15</f>
        <v>21.375</v>
      </c>
      <c r="D15" s="25">
        <f>5/8</f>
        <v>0.625</v>
      </c>
      <c r="E15" s="25"/>
      <c r="F15" s="25"/>
      <c r="G15" s="25"/>
      <c r="H15" s="26">
        <v>4000</v>
      </c>
      <c r="I15" s="26">
        <v>0</v>
      </c>
      <c r="J15" s="26">
        <f t="shared" si="1"/>
        <v>3886.36363636364</v>
      </c>
      <c r="K15" s="26">
        <f t="shared" si="2"/>
        <v>0</v>
      </c>
      <c r="L15" s="26">
        <v>0</v>
      </c>
      <c r="M15" s="26">
        <f>(H15+I15)/B15*E15</f>
        <v>0</v>
      </c>
      <c r="N15" s="27">
        <f>529.96+529.96</f>
        <v>1059.92</v>
      </c>
      <c r="O15" s="26"/>
      <c r="P15" s="26">
        <v>0</v>
      </c>
      <c r="Q15" s="26">
        <f t="shared" si="3"/>
        <v>2826.44363636364</v>
      </c>
      <c r="R15" s="42" t="s">
        <v>74</v>
      </c>
    </row>
    <row r="16" s="2" customFormat="1" ht="18" customHeight="1" spans="1:1024 1025:16384">
      <c r="C16" s="5"/>
      <c r="P16" s="36" t="s">
        <v>43</v>
      </c>
      <c r="Q16" s="37">
        <f>SUM(Q4:Q15)</f>
        <v>83348.7281818182</v>
      </c>
      <c r="R16" s="38"/>
    </row>
    <row r="17" s="2" customFormat="1" spans="1:1024 1025:16384">
      <c r="Q17" s="39"/>
    </row>
    <row r="18" ht="14" customHeight="1" spans="1:1024 1025:16384">
      <c r="XEV18" s="6"/>
      <c r="XEW18" s="6"/>
      <c r="XEX18" s="6"/>
    </row>
    <row r="19" s="2" customFormat="1" ht="46" customHeight="1" spans="1:1024 1025:16384">
      <c r="A19" s="16" t="s">
        <v>2</v>
      </c>
      <c r="B19" s="16" t="s">
        <v>3</v>
      </c>
      <c r="C19" s="17" t="s">
        <v>4</v>
      </c>
      <c r="D19" s="18" t="s">
        <v>5</v>
      </c>
      <c r="E19" s="16" t="s">
        <v>6</v>
      </c>
      <c r="F19" s="18" t="s">
        <v>7</v>
      </c>
      <c r="G19" s="18" t="s">
        <v>8</v>
      </c>
      <c r="H19" s="19" t="s">
        <v>9</v>
      </c>
      <c r="I19" s="19" t="s">
        <v>10</v>
      </c>
      <c r="J19" s="43" t="s">
        <v>75</v>
      </c>
      <c r="K19" s="43" t="s">
        <v>76</v>
      </c>
      <c r="L19" s="19" t="s">
        <v>11</v>
      </c>
      <c r="M19" s="20" t="s">
        <v>12</v>
      </c>
      <c r="N19" s="20" t="s">
        <v>13</v>
      </c>
      <c r="O19" s="20" t="s">
        <v>14</v>
      </c>
      <c r="P19" s="20" t="s">
        <v>15</v>
      </c>
      <c r="Q19" s="20" t="s">
        <v>16</v>
      </c>
      <c r="R19" s="20" t="s">
        <v>17</v>
      </c>
      <c r="S19" s="19" t="s">
        <v>18</v>
      </c>
      <c r="T19" s="21" t="s">
        <v>19</v>
      </c>
    </row>
    <row r="20" s="40" customFormat="1" ht="35" customHeight="1" spans="1:1024 1025:16384">
      <c r="A20" s="44" t="s">
        <v>77</v>
      </c>
      <c r="B20" s="45">
        <v>22</v>
      </c>
      <c r="C20" s="46">
        <v>17</v>
      </c>
      <c r="D20" s="45"/>
      <c r="E20" s="45"/>
      <c r="F20" s="45"/>
      <c r="G20" s="45"/>
      <c r="H20" s="45">
        <v>5000</v>
      </c>
      <c r="I20" s="45">
        <v>500</v>
      </c>
      <c r="J20" s="45">
        <v>1000</v>
      </c>
      <c r="K20" s="45">
        <v>300</v>
      </c>
      <c r="L20" s="47">
        <f>(H20+I20+J20+K20)/B20*C20</f>
        <v>5254.54545454545</v>
      </c>
      <c r="M20" s="45">
        <v>0</v>
      </c>
      <c r="N20" s="45">
        <v>0</v>
      </c>
      <c r="O20" s="45">
        <v>504</v>
      </c>
      <c r="P20" s="45">
        <v>0</v>
      </c>
      <c r="Q20" s="45">
        <v>0</v>
      </c>
      <c r="R20" s="45"/>
      <c r="S20" s="47">
        <f>L20+M20+N20+O20-P20-Q20</f>
        <v>5758.54545454545</v>
      </c>
      <c r="T20" s="33" t="s">
        <v>78</v>
      </c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9"/>
      <c r="XEW20" s="49"/>
      <c r="XEX20" s="49"/>
      <c r="XEY20" s="49"/>
      <c r="XEZ20" s="49"/>
      <c r="XFA20" s="49"/>
      <c r="XFB20" s="49"/>
      <c r="XFC20" s="49"/>
      <c r="XFD20" s="49"/>
    </row>
    <row r="21" ht="18.5" spans="1:1024 1025:16384">
      <c r="P21" s="36" t="s">
        <v>43</v>
      </c>
      <c r="Q21" s="37">
        <f>Q16+S20</f>
        <v>89107.2736363636</v>
      </c>
    </row>
  </sheetData>
  <conditionalFormatting sqref="A20">
    <cfRule type="duplicateValues" dxfId="0" priority="1"/>
  </conditionalFormatting>
  <conditionalFormatting sqref="A4:A5">
    <cfRule type="duplicateValues" dxfId="0" priority="6"/>
  </conditionalFormatting>
  <conditionalFormatting sqref="A7:A10">
    <cfRule type="duplicateValues" dxfId="0" priority="5"/>
  </conditionalFormatting>
  <conditionalFormatting sqref="A11:A12">
    <cfRule type="duplicateValues" dxfId="0" priority="4"/>
  </conditionalFormatting>
  <conditionalFormatting sqref="A13:A15">
    <cfRule type="duplicateValues" dxfId="0" priority="3"/>
  </conditionalFormatting>
  <pageMargins left="0.75" right="0.75" top="1" bottom="1" header="0.5" footer="0.5"/>
  <pageSetup paperSize="9" scale="57" orientation="portrait"/>
  <headerFooter/>
  <colBreaks count="1" manualBreakCount="1">
    <brk id="17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N18"/>
  <sheetViews>
    <sheetView zoomScale="70" zoomScaleNormal="70" topLeftCell="A10" workbookViewId="0">
      <selection activeCell="P8" sqref="P8"/>
    </sheetView>
  </sheetViews>
  <sheetFormatPr defaultColWidth="9" defaultRowHeight="15.5"/>
  <cols>
    <col min="1" max="1" width="12.6363636363636" style="2" customWidth="1"/>
    <col min="2" max="2" width="10.6363636363636" style="2" customWidth="1"/>
    <col min="3" max="3" width="10.6363636363636" style="5" customWidth="1"/>
    <col min="4" max="16" width="10.6363636363636" style="2" customWidth="1"/>
    <col min="17" max="17" width="13.2454545454545" style="2" customWidth="1"/>
    <col min="18" max="18" width="42.6363636363636" style="2" customWidth="1"/>
    <col min="19" max="19" width="11.2909090909091" style="2" customWidth="1"/>
    <col min="20" max="20" width="10.2727272727273" style="2"/>
    <col min="21" max="16378" width="9" style="2"/>
    <col min="16379" max="16384" width="9" style="6"/>
  </cols>
  <sheetData>
    <row r="1" s="1" customFormat="1" ht="30" customHeight="1" spans="1:248">
      <c r="A1" s="7" t="s">
        <v>79</v>
      </c>
      <c r="B1" s="7"/>
      <c r="C1" s="8"/>
      <c r="D1" s="9"/>
      <c r="E1" s="9"/>
      <c r="F1" s="9"/>
      <c r="G1" s="9"/>
      <c r="M1" s="10"/>
      <c r="R1" s="11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</row>
    <row r="2" s="1" customFormat="1" ht="21.75" customHeight="1" spans="1:248">
      <c r="A2" s="13" t="s">
        <v>1</v>
      </c>
      <c r="B2" s="13"/>
      <c r="C2" s="14"/>
      <c r="D2" s="15"/>
      <c r="E2" s="3"/>
      <c r="F2" s="3"/>
      <c r="G2" s="3"/>
      <c r="M2" s="10"/>
      <c r="R2" s="11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</row>
    <row r="3" s="2" customFormat="1" ht="46" customHeight="1" spans="1:248">
      <c r="A3" s="16" t="s">
        <v>2</v>
      </c>
      <c r="B3" s="16" t="s">
        <v>3</v>
      </c>
      <c r="C3" s="17" t="s">
        <v>4</v>
      </c>
      <c r="D3" s="18" t="s">
        <v>5</v>
      </c>
      <c r="E3" s="16" t="s">
        <v>6</v>
      </c>
      <c r="F3" s="18" t="s">
        <v>7</v>
      </c>
      <c r="G3" s="18" t="s">
        <v>8</v>
      </c>
      <c r="H3" s="19" t="s">
        <v>9</v>
      </c>
      <c r="I3" s="19" t="s">
        <v>10</v>
      </c>
      <c r="J3" s="19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17</v>
      </c>
      <c r="Q3" s="19" t="s">
        <v>18</v>
      </c>
      <c r="R3" s="21" t="s">
        <v>19</v>
      </c>
      <c r="S3" s="21" t="s">
        <v>62</v>
      </c>
      <c r="T3" s="22" t="s">
        <v>63</v>
      </c>
    </row>
    <row r="4" s="3" customFormat="1" ht="71" customHeight="1" spans="1:248">
      <c r="A4" s="23" t="s">
        <v>22</v>
      </c>
      <c r="B4" s="24">
        <v>14</v>
      </c>
      <c r="C4" s="25">
        <f>B4-F4-E4-G4</f>
        <v>8.875</v>
      </c>
      <c r="D4" s="25"/>
      <c r="E4" s="25">
        <f>4.5/8</f>
        <v>0.5625</v>
      </c>
      <c r="F4" s="25">
        <f>4.5/8</f>
        <v>0.5625</v>
      </c>
      <c r="G4" s="25">
        <v>4</v>
      </c>
      <c r="H4" s="26">
        <v>4420</v>
      </c>
      <c r="I4" s="26">
        <v>4305</v>
      </c>
      <c r="J4" s="26">
        <f t="shared" ref="J4:J15" si="0">(H4+I4)/B4*C4</f>
        <v>5531.02678571429</v>
      </c>
      <c r="K4" s="26">
        <f>(H4+I4)/B4*F4*100%</f>
        <v>350.558035714286</v>
      </c>
      <c r="L4" s="26">
        <v>200</v>
      </c>
      <c r="M4" s="26">
        <f>300+(H4+I4)/B4*E4+(H4+I4)/B4*G4</f>
        <v>3143.41517857143</v>
      </c>
      <c r="N4" s="27">
        <f t="shared" ref="N4:N11" si="1">529.96</f>
        <v>529.96</v>
      </c>
      <c r="O4" s="26">
        <v>44.46</v>
      </c>
      <c r="P4" s="26">
        <v>213</v>
      </c>
      <c r="Q4" s="26">
        <f t="shared" ref="Q4:Q15" si="2">J4+K4+L4+M4-N4-O4-P4</f>
        <v>8437.58000000001</v>
      </c>
      <c r="R4" s="28" t="s">
        <v>80</v>
      </c>
    </row>
    <row r="5" s="3" customFormat="1" ht="70" customHeight="1" spans="1:248">
      <c r="A5" s="23" t="s">
        <v>24</v>
      </c>
      <c r="B5" s="24">
        <v>14</v>
      </c>
      <c r="C5" s="25">
        <f>B5-G5</f>
        <v>13</v>
      </c>
      <c r="D5" s="25"/>
      <c r="E5" s="25"/>
      <c r="F5" s="25"/>
      <c r="G5" s="25">
        <v>1</v>
      </c>
      <c r="H5" s="26">
        <v>4420</v>
      </c>
      <c r="I5" s="26">
        <v>2310</v>
      </c>
      <c r="J5" s="26">
        <f t="shared" si="0"/>
        <v>6249.28571428571</v>
      </c>
      <c r="K5" s="26">
        <f t="shared" ref="K4:K15" si="3">(H5+I5)/B5*F5*60%</f>
        <v>0</v>
      </c>
      <c r="L5" s="26">
        <v>200</v>
      </c>
      <c r="M5" s="26">
        <f>200+(H5+I5)/B5*E5+(H5+I5)/B5*G5</f>
        <v>680.714285714286</v>
      </c>
      <c r="N5" s="27">
        <f t="shared" si="1"/>
        <v>529.96</v>
      </c>
      <c r="O5" s="26"/>
      <c r="P5" s="26">
        <v>213</v>
      </c>
      <c r="Q5" s="26">
        <f t="shared" si="2"/>
        <v>6387.04</v>
      </c>
      <c r="R5" s="28" t="s">
        <v>81</v>
      </c>
    </row>
    <row r="6" s="4" customFormat="1" ht="9" customHeight="1" spans="1:248">
      <c r="A6" s="29"/>
      <c r="B6" s="30"/>
      <c r="C6" s="31"/>
      <c r="D6" s="31"/>
      <c r="E6" s="31"/>
      <c r="F6" s="31"/>
      <c r="G6" s="3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="3" customFormat="1" ht="70" customHeight="1" spans="1:248">
      <c r="A7" s="33" t="s">
        <v>26</v>
      </c>
      <c r="B7" s="24">
        <v>14</v>
      </c>
      <c r="C7" s="25">
        <f>B7-E7-D7</f>
        <v>11.125</v>
      </c>
      <c r="D7" s="25">
        <f>15/8</f>
        <v>1.875</v>
      </c>
      <c r="E7" s="25">
        <v>1</v>
      </c>
      <c r="F7" s="25"/>
      <c r="G7" s="25"/>
      <c r="H7" s="26">
        <v>4126</v>
      </c>
      <c r="I7" s="26">
        <v>3914</v>
      </c>
      <c r="J7" s="26">
        <f>(H7+I7)/B7*C7</f>
        <v>6388.92857142857</v>
      </c>
      <c r="K7" s="26">
        <f>(H7+I7)/B7*F7*60%</f>
        <v>0</v>
      </c>
      <c r="L7" s="26">
        <v>0</v>
      </c>
      <c r="M7" s="26">
        <f>200+(H7+I7)/B7*E7</f>
        <v>774.285714285714</v>
      </c>
      <c r="N7" s="27">
        <f t="shared" si="1"/>
        <v>529.96</v>
      </c>
      <c r="O7" s="3">
        <v>34.51</v>
      </c>
      <c r="P7" s="26">
        <f>213+270</f>
        <v>483</v>
      </c>
      <c r="Q7" s="26">
        <f t="shared" si="2"/>
        <v>6115.74428571428</v>
      </c>
      <c r="R7" s="28" t="s">
        <v>82</v>
      </c>
    </row>
    <row r="8" s="3" customFormat="1" ht="70" customHeight="1" spans="1:248">
      <c r="A8" s="33" t="s">
        <v>28</v>
      </c>
      <c r="B8" s="24">
        <v>14</v>
      </c>
      <c r="C8" s="25">
        <f>B8-E8</f>
        <v>13</v>
      </c>
      <c r="D8" s="25"/>
      <c r="E8" s="25">
        <v>1</v>
      </c>
      <c r="F8" s="25"/>
      <c r="G8" s="25"/>
      <c r="H8" s="26">
        <v>4800</v>
      </c>
      <c r="I8" s="26">
        <v>2000</v>
      </c>
      <c r="J8" s="26">
        <f>(H8+I8)/B8*C8</f>
        <v>6314.28571428571</v>
      </c>
      <c r="K8" s="26">
        <f t="shared" si="3"/>
        <v>0</v>
      </c>
      <c r="L8" s="26">
        <v>200</v>
      </c>
      <c r="M8" s="26">
        <f>200+(H8+I8)/B8*E8+(H8+I8)/B8*G8</f>
        <v>685.714285714286</v>
      </c>
      <c r="N8" s="27">
        <f t="shared" si="1"/>
        <v>529.96</v>
      </c>
      <c r="O8" s="26"/>
      <c r="P8" s="26">
        <f>560+347+180</f>
        <v>1087</v>
      </c>
      <c r="Q8" s="26">
        <f t="shared" si="2"/>
        <v>5583.04</v>
      </c>
      <c r="R8" s="34" t="s">
        <v>83</v>
      </c>
    </row>
    <row r="9" s="3" customFormat="1" ht="70" customHeight="1" spans="1:248">
      <c r="A9" s="33" t="s">
        <v>30</v>
      </c>
      <c r="B9" s="24">
        <v>14</v>
      </c>
      <c r="C9" s="25">
        <f>B9-E9</f>
        <v>13</v>
      </c>
      <c r="D9" s="25"/>
      <c r="E9" s="25">
        <v>1</v>
      </c>
      <c r="F9" s="25"/>
      <c r="G9" s="25"/>
      <c r="H9" s="26">
        <v>4000</v>
      </c>
      <c r="I9" s="26">
        <v>1300</v>
      </c>
      <c r="J9" s="26">
        <f t="shared" si="0"/>
        <v>4921.42857142857</v>
      </c>
      <c r="K9" s="26">
        <f t="shared" si="3"/>
        <v>0</v>
      </c>
      <c r="L9" s="26">
        <v>200</v>
      </c>
      <c r="M9" s="26">
        <f t="shared" ref="M9:M11" si="4">200+(H9+I9)/B9*E9+(H9+I9)/B9*G9</f>
        <v>578.571428571429</v>
      </c>
      <c r="N9" s="27">
        <f t="shared" si="1"/>
        <v>529.96</v>
      </c>
      <c r="O9" s="26">
        <v>2.4</v>
      </c>
      <c r="P9" s="26">
        <v>90</v>
      </c>
      <c r="Q9" s="26">
        <f t="shared" si="2"/>
        <v>5077.64</v>
      </c>
      <c r="R9" s="34" t="s">
        <v>84</v>
      </c>
    </row>
    <row r="10" s="3" customFormat="1" ht="70" customHeight="1" spans="1:248">
      <c r="A10" s="33" t="s">
        <v>32</v>
      </c>
      <c r="B10" s="24">
        <v>14</v>
      </c>
      <c r="C10" s="25">
        <f>B10-E10</f>
        <v>13</v>
      </c>
      <c r="D10" s="25"/>
      <c r="E10" s="25">
        <v>1</v>
      </c>
      <c r="F10" s="25"/>
      <c r="G10" s="25"/>
      <c r="H10" s="26">
        <v>4500</v>
      </c>
      <c r="I10" s="26">
        <v>3500</v>
      </c>
      <c r="J10" s="26">
        <f t="shared" si="0"/>
        <v>7428.57142857143</v>
      </c>
      <c r="K10" s="26">
        <f t="shared" si="3"/>
        <v>0</v>
      </c>
      <c r="L10" s="26">
        <v>200</v>
      </c>
      <c r="M10" s="26">
        <f t="shared" si="4"/>
        <v>771.428571428571</v>
      </c>
      <c r="N10" s="27">
        <f t="shared" si="1"/>
        <v>529.96</v>
      </c>
      <c r="O10" s="26">
        <v>79.71</v>
      </c>
      <c r="P10" s="26">
        <v>213</v>
      </c>
      <c r="Q10" s="26">
        <f t="shared" si="2"/>
        <v>7577.33</v>
      </c>
      <c r="R10" s="34" t="s">
        <v>85</v>
      </c>
    </row>
    <row r="11" s="3" customFormat="1" ht="70" customHeight="1" spans="1:248">
      <c r="A11" s="33" t="s">
        <v>34</v>
      </c>
      <c r="B11" s="24">
        <v>14</v>
      </c>
      <c r="C11" s="25">
        <v>14</v>
      </c>
      <c r="D11" s="25"/>
      <c r="E11" s="25"/>
      <c r="F11" s="25"/>
      <c r="G11" s="25"/>
      <c r="H11" s="26">
        <v>5000</v>
      </c>
      <c r="I11" s="26">
        <v>5800</v>
      </c>
      <c r="J11" s="26">
        <f t="shared" si="0"/>
        <v>10800</v>
      </c>
      <c r="K11" s="26">
        <f t="shared" si="3"/>
        <v>0</v>
      </c>
      <c r="L11" s="26">
        <v>200</v>
      </c>
      <c r="M11" s="26">
        <f t="shared" si="4"/>
        <v>200</v>
      </c>
      <c r="N11" s="27">
        <f t="shared" si="1"/>
        <v>529.96</v>
      </c>
      <c r="O11" s="26">
        <v>73.71</v>
      </c>
      <c r="P11" s="26">
        <v>213</v>
      </c>
      <c r="Q11" s="26">
        <f t="shared" si="2"/>
        <v>10383.33</v>
      </c>
      <c r="R11" s="34" t="s">
        <v>86</v>
      </c>
    </row>
    <row r="12" s="3" customFormat="1" ht="70" customHeight="1" spans="1:248">
      <c r="A12" s="33" t="s">
        <v>36</v>
      </c>
      <c r="B12" s="24">
        <v>14</v>
      </c>
      <c r="C12" s="25">
        <v>14</v>
      </c>
      <c r="D12" s="25"/>
      <c r="E12" s="25"/>
      <c r="F12" s="25"/>
      <c r="G12" s="25"/>
      <c r="H12" s="26">
        <v>6000</v>
      </c>
      <c r="I12" s="26">
        <v>2800</v>
      </c>
      <c r="J12" s="26">
        <f t="shared" si="0"/>
        <v>8800</v>
      </c>
      <c r="K12" s="26">
        <f t="shared" si="3"/>
        <v>0</v>
      </c>
      <c r="L12" s="26">
        <v>200</v>
      </c>
      <c r="M12" s="26">
        <f>500+(H12+I12)/B12*E12</f>
        <v>500</v>
      </c>
      <c r="N12" s="27">
        <v>640</v>
      </c>
      <c r="O12" s="26">
        <v>87</v>
      </c>
      <c r="P12" s="26">
        <v>960</v>
      </c>
      <c r="Q12" s="26">
        <f t="shared" si="2"/>
        <v>7813</v>
      </c>
      <c r="R12" s="34" t="s">
        <v>87</v>
      </c>
    </row>
    <row r="13" s="3" customFormat="1" ht="70" customHeight="1" spans="1:248">
      <c r="A13" s="33" t="s">
        <v>38</v>
      </c>
      <c r="B13" s="24">
        <v>14</v>
      </c>
      <c r="C13" s="25">
        <f>B13-E13</f>
        <v>13.4375</v>
      </c>
      <c r="D13" s="25"/>
      <c r="E13" s="25">
        <f>4.5/8</f>
        <v>0.5625</v>
      </c>
      <c r="F13" s="25"/>
      <c r="G13" s="25"/>
      <c r="H13" s="26">
        <v>5300</v>
      </c>
      <c r="I13" s="26">
        <v>1500</v>
      </c>
      <c r="J13" s="26">
        <f t="shared" si="0"/>
        <v>6526.78571428571</v>
      </c>
      <c r="K13" s="26">
        <f t="shared" si="3"/>
        <v>0</v>
      </c>
      <c r="L13" s="26">
        <v>200</v>
      </c>
      <c r="M13" s="26">
        <f t="shared" ref="M13:M15" si="5">(H13+I13)/B13*E13</f>
        <v>273.214285714286</v>
      </c>
      <c r="N13" s="27">
        <f>452.5</f>
        <v>452.5</v>
      </c>
      <c r="O13" s="26"/>
      <c r="P13" s="26">
        <f>156</f>
        <v>156</v>
      </c>
      <c r="Q13" s="26">
        <f t="shared" si="2"/>
        <v>6391.5</v>
      </c>
      <c r="R13" s="34" t="s">
        <v>88</v>
      </c>
      <c r="S13" s="35">
        <v>2391.5</v>
      </c>
      <c r="T13" s="3">
        <f>Q13-S13</f>
        <v>4000</v>
      </c>
    </row>
    <row r="14" s="3" customFormat="1" ht="70" customHeight="1" spans="1:248">
      <c r="A14" s="33" t="s">
        <v>40</v>
      </c>
      <c r="B14" s="24">
        <v>14</v>
      </c>
      <c r="C14" s="25">
        <v>14</v>
      </c>
      <c r="D14" s="25"/>
      <c r="E14" s="25"/>
      <c r="F14" s="25"/>
      <c r="G14" s="25"/>
      <c r="H14" s="26">
        <v>4500</v>
      </c>
      <c r="I14" s="26">
        <v>800</v>
      </c>
      <c r="J14" s="26">
        <f t="shared" si="0"/>
        <v>5300</v>
      </c>
      <c r="K14" s="26">
        <f t="shared" si="3"/>
        <v>0</v>
      </c>
      <c r="L14" s="26">
        <v>200</v>
      </c>
      <c r="M14" s="26">
        <f>(H14+I14)/B14*E14+300</f>
        <v>300</v>
      </c>
      <c r="N14" s="27">
        <f>529.96</f>
        <v>529.96</v>
      </c>
      <c r="O14" s="26"/>
      <c r="P14" s="26">
        <v>213</v>
      </c>
      <c r="Q14" s="26">
        <f t="shared" si="2"/>
        <v>5057.04</v>
      </c>
      <c r="R14" s="34" t="s">
        <v>89</v>
      </c>
    </row>
    <row r="15" s="3" customFormat="1" ht="70" customHeight="1" spans="1:248">
      <c r="A15" s="33" t="s">
        <v>42</v>
      </c>
      <c r="B15" s="24">
        <v>14</v>
      </c>
      <c r="C15" s="25">
        <v>14</v>
      </c>
      <c r="D15" s="25"/>
      <c r="E15" s="25"/>
      <c r="F15" s="25"/>
      <c r="G15" s="25"/>
      <c r="H15" s="26">
        <v>4000</v>
      </c>
      <c r="I15" s="26">
        <v>0</v>
      </c>
      <c r="J15" s="26">
        <f t="shared" si="0"/>
        <v>4000</v>
      </c>
      <c r="K15" s="26">
        <f t="shared" si="3"/>
        <v>0</v>
      </c>
      <c r="L15" s="26">
        <v>200</v>
      </c>
      <c r="M15" s="26">
        <f t="shared" si="5"/>
        <v>0</v>
      </c>
      <c r="N15" s="27">
        <v>0</v>
      </c>
      <c r="O15" s="26"/>
      <c r="P15" s="26">
        <v>0</v>
      </c>
      <c r="Q15" s="26">
        <f t="shared" si="2"/>
        <v>4200</v>
      </c>
      <c r="R15" s="34"/>
    </row>
    <row r="16" s="2" customFormat="1" ht="18" customHeight="1" spans="1:248">
      <c r="C16" s="5"/>
      <c r="P16" s="36" t="s">
        <v>43</v>
      </c>
      <c r="Q16" s="37">
        <f>SUM(Q4:Q15)</f>
        <v>73023.2442857143</v>
      </c>
      <c r="R16" s="38"/>
    </row>
    <row r="17" s="2" customFormat="1" spans="17:17">
      <c r="Q17" s="39"/>
    </row>
    <row r="18" ht="14" customHeight="1"/>
  </sheetData>
  <conditionalFormatting sqref="A4:A5">
    <cfRule type="duplicateValues" dxfId="0" priority="4"/>
  </conditionalFormatting>
  <conditionalFormatting sqref="A7:A10">
    <cfRule type="duplicateValues" dxfId="0" priority="3"/>
  </conditionalFormatting>
  <conditionalFormatting sqref="A11:A12">
    <cfRule type="duplicateValues" dxfId="0" priority="2"/>
  </conditionalFormatting>
  <conditionalFormatting sqref="A13:A15">
    <cfRule type="duplicateValues" dxfId="0" priority="1"/>
  </conditionalFormatting>
  <pageMargins left="0.75" right="0.75" top="1" bottom="1" header="0.5" footer="0.5"/>
  <pageSetup paperSize="9" scale="57" orientation="portrait"/>
  <headerFooter/>
  <colBreaks count="1" manualBreakCount="1">
    <brk id="17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N18"/>
  <sheetViews>
    <sheetView zoomScale="70" zoomScaleNormal="70" topLeftCell="A9" workbookViewId="0">
      <selection activeCell="B12" sqref="B12"/>
    </sheetView>
  </sheetViews>
  <sheetFormatPr defaultColWidth="9" defaultRowHeight="15.5"/>
  <cols>
    <col min="1" max="1" width="12.6363636363636" style="2" customWidth="1"/>
    <col min="2" max="2" width="10.6363636363636" style="2" customWidth="1"/>
    <col min="3" max="3" width="10.6363636363636" style="5" customWidth="1"/>
    <col min="4" max="16" width="10.6363636363636" style="2" customWidth="1"/>
    <col min="17" max="17" width="13.2454545454545" style="2" customWidth="1"/>
    <col min="18" max="18" width="42.6363636363636" style="2" customWidth="1"/>
    <col min="19" max="19" width="11.2909090909091" style="2" customWidth="1"/>
    <col min="20" max="20" width="10.2727272727273" style="2"/>
    <col min="21" max="16378" width="9" style="2"/>
    <col min="16379" max="16384" width="9" style="6"/>
  </cols>
  <sheetData>
    <row r="1" s="1" customFormat="1" ht="30" customHeight="1" spans="1:248">
      <c r="A1" s="7" t="s">
        <v>90</v>
      </c>
      <c r="B1" s="7"/>
      <c r="C1" s="8"/>
      <c r="D1" s="9"/>
      <c r="E1" s="9"/>
      <c r="F1" s="9"/>
      <c r="G1" s="9"/>
      <c r="M1" s="10"/>
      <c r="R1" s="11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</row>
    <row r="2" s="1" customFormat="1" ht="21.75" customHeight="1" spans="1:248">
      <c r="A2" s="13" t="s">
        <v>1</v>
      </c>
      <c r="B2" s="13"/>
      <c r="C2" s="14"/>
      <c r="D2" s="15"/>
      <c r="E2" s="3"/>
      <c r="F2" s="3"/>
      <c r="G2" s="3"/>
      <c r="M2" s="10"/>
      <c r="R2" s="11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</row>
    <row r="3" s="2" customFormat="1" ht="46" customHeight="1" spans="1:248">
      <c r="A3" s="16" t="s">
        <v>2</v>
      </c>
      <c r="B3" s="16" t="s">
        <v>3</v>
      </c>
      <c r="C3" s="17" t="s">
        <v>4</v>
      </c>
      <c r="D3" s="18" t="s">
        <v>5</v>
      </c>
      <c r="E3" s="16" t="s">
        <v>6</v>
      </c>
      <c r="F3" s="18" t="s">
        <v>7</v>
      </c>
      <c r="G3" s="18" t="s">
        <v>8</v>
      </c>
      <c r="H3" s="19" t="s">
        <v>9</v>
      </c>
      <c r="I3" s="19" t="s">
        <v>10</v>
      </c>
      <c r="J3" s="19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17</v>
      </c>
      <c r="Q3" s="19" t="s">
        <v>18</v>
      </c>
      <c r="R3" s="21" t="s">
        <v>19</v>
      </c>
      <c r="S3" s="21" t="s">
        <v>62</v>
      </c>
      <c r="T3" s="22" t="s">
        <v>63</v>
      </c>
    </row>
    <row r="4" s="3" customFormat="1" ht="71" customHeight="1" spans="1:248">
      <c r="A4" s="23" t="s">
        <v>22</v>
      </c>
      <c r="B4" s="24">
        <v>21</v>
      </c>
      <c r="C4" s="25">
        <v>21</v>
      </c>
      <c r="D4" s="25"/>
      <c r="E4" s="25"/>
      <c r="F4" s="25"/>
      <c r="G4" s="25"/>
      <c r="H4" s="26">
        <v>4420</v>
      </c>
      <c r="I4" s="26">
        <v>4305</v>
      </c>
      <c r="J4" s="26">
        <f t="shared" ref="J4:J16" si="0">(H4+I4)/B4*C4</f>
        <v>8725</v>
      </c>
      <c r="K4" s="26">
        <f t="shared" ref="K4:K16" si="1">(H4+I4)/B4*F4*60%</f>
        <v>0</v>
      </c>
      <c r="L4" s="26">
        <v>200</v>
      </c>
      <c r="M4" s="26">
        <f>200+(H4+I4)/B4*E4+(H4+I4)/B4*G4+360</f>
        <v>560</v>
      </c>
      <c r="N4" s="27">
        <f t="shared" ref="N4:N11" si="2">529.96</f>
        <v>529.96</v>
      </c>
      <c r="O4" s="26">
        <v>52.26</v>
      </c>
      <c r="P4" s="26">
        <v>213</v>
      </c>
      <c r="Q4" s="26">
        <f>J4+K4+L4+M4-N4-O4-P4</f>
        <v>8689.78</v>
      </c>
      <c r="R4" s="28" t="s">
        <v>91</v>
      </c>
    </row>
    <row r="5" s="3" customFormat="1" ht="70" customHeight="1" spans="1:248">
      <c r="A5" s="23" t="s">
        <v>24</v>
      </c>
      <c r="B5" s="24">
        <v>21</v>
      </c>
      <c r="C5" s="25">
        <v>21</v>
      </c>
      <c r="D5" s="25"/>
      <c r="E5" s="25"/>
      <c r="F5" s="25"/>
      <c r="G5" s="25"/>
      <c r="H5" s="26">
        <v>4420</v>
      </c>
      <c r="I5" s="26">
        <v>2310</v>
      </c>
      <c r="J5" s="26">
        <f t="shared" si="0"/>
        <v>6730</v>
      </c>
      <c r="K5" s="26">
        <f t="shared" si="1"/>
        <v>0</v>
      </c>
      <c r="L5" s="26">
        <v>200</v>
      </c>
      <c r="M5" s="26">
        <f>200+(H5+I5)/B5*E5+(H5+I5)/B5*G5+360</f>
        <v>560</v>
      </c>
      <c r="N5" s="27">
        <f t="shared" si="2"/>
        <v>529.96</v>
      </c>
      <c r="O5" s="26">
        <v>7.41</v>
      </c>
      <c r="P5" s="26">
        <v>213</v>
      </c>
      <c r="Q5" s="26">
        <f>J5+K5+L5+M5-N5-O5-P5</f>
        <v>6739.63</v>
      </c>
      <c r="R5" s="28" t="s">
        <v>92</v>
      </c>
    </row>
    <row r="6" s="4" customFormat="1" ht="9" customHeight="1" spans="1:248">
      <c r="A6" s="29"/>
      <c r="B6" s="30"/>
      <c r="C6" s="31"/>
      <c r="D6" s="31"/>
      <c r="E6" s="31"/>
      <c r="F6" s="31"/>
      <c r="G6" s="3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="3" customFormat="1" ht="70" customHeight="1" spans="1:248">
      <c r="A7" s="33" t="s">
        <v>26</v>
      </c>
      <c r="B7" s="24">
        <v>21</v>
      </c>
      <c r="C7" s="25">
        <f>B7-D7</f>
        <v>17.5625</v>
      </c>
      <c r="D7" s="25">
        <f>27.5/8</f>
        <v>3.4375</v>
      </c>
      <c r="E7" s="25"/>
      <c r="F7" s="25"/>
      <c r="G7" s="25"/>
      <c r="H7" s="26">
        <v>4126</v>
      </c>
      <c r="I7" s="26">
        <v>3914</v>
      </c>
      <c r="J7" s="26">
        <f t="shared" si="0"/>
        <v>6723.92857142857</v>
      </c>
      <c r="K7" s="26">
        <f t="shared" si="1"/>
        <v>0</v>
      </c>
      <c r="L7" s="26">
        <v>0</v>
      </c>
      <c r="M7" s="26">
        <f>200+(H7+I7)/B7*E7</f>
        <v>200</v>
      </c>
      <c r="N7" s="27">
        <f t="shared" si="2"/>
        <v>529.96</v>
      </c>
      <c r="O7" s="3">
        <v>24.63</v>
      </c>
      <c r="P7" s="26">
        <f>213+360</f>
        <v>573</v>
      </c>
      <c r="Q7" s="26">
        <f>J7+K7+L7+M7-N7-O7-P7</f>
        <v>5796.33857142857</v>
      </c>
      <c r="R7" s="28" t="s">
        <v>93</v>
      </c>
    </row>
    <row r="8" s="3" customFormat="1" ht="70" customHeight="1" spans="1:248">
      <c r="A8" s="33" t="s">
        <v>28</v>
      </c>
      <c r="B8" s="24">
        <v>21</v>
      </c>
      <c r="C8" s="25">
        <f>B8-E8</f>
        <v>20.625</v>
      </c>
      <c r="D8" s="25"/>
      <c r="E8" s="25">
        <f>3/8</f>
        <v>0.375</v>
      </c>
      <c r="F8" s="25"/>
      <c r="G8" s="25"/>
      <c r="H8" s="26">
        <v>4800</v>
      </c>
      <c r="I8" s="26">
        <v>2000</v>
      </c>
      <c r="J8" s="26">
        <f t="shared" si="0"/>
        <v>6678.57142857143</v>
      </c>
      <c r="K8" s="26">
        <f t="shared" si="1"/>
        <v>0</v>
      </c>
      <c r="L8" s="26">
        <v>200</v>
      </c>
      <c r="M8" s="26">
        <f>200+(H8+I8)/B8*E8+(H8+I8)/B8*G8+6000</f>
        <v>6321.42857142857</v>
      </c>
      <c r="N8" s="27">
        <f t="shared" si="2"/>
        <v>529.96</v>
      </c>
      <c r="O8" s="26">
        <v>170.19</v>
      </c>
      <c r="P8" s="26">
        <f>560+347+90</f>
        <v>997</v>
      </c>
      <c r="Q8" s="26">
        <f t="shared" ref="Q8:Q15" si="3">J8+K8+L8+M8-N8-O8-P8</f>
        <v>11502.85</v>
      </c>
      <c r="R8" s="34" t="s">
        <v>94</v>
      </c>
    </row>
    <row r="9" s="3" customFormat="1" ht="70" customHeight="1" spans="1:248">
      <c r="A9" s="33" t="s">
        <v>30</v>
      </c>
      <c r="B9" s="24">
        <v>21</v>
      </c>
      <c r="C9" s="25">
        <f>B9-E9</f>
        <v>20</v>
      </c>
      <c r="D9" s="25"/>
      <c r="E9" s="25">
        <v>1</v>
      </c>
      <c r="F9" s="25"/>
      <c r="G9" s="25"/>
      <c r="H9" s="26">
        <v>4000</v>
      </c>
      <c r="I9" s="26">
        <v>1300</v>
      </c>
      <c r="J9" s="26">
        <f t="shared" si="0"/>
        <v>5047.61904761905</v>
      </c>
      <c r="K9" s="26">
        <f t="shared" si="1"/>
        <v>0</v>
      </c>
      <c r="L9" s="26">
        <v>200</v>
      </c>
      <c r="M9" s="26">
        <f>200+(H9+I9)/B9*E9+(H9+I9)/B9*G9</f>
        <v>452.380952380952</v>
      </c>
      <c r="N9" s="27">
        <f t="shared" si="2"/>
        <v>529.96</v>
      </c>
      <c r="O9" s="26">
        <v>2.4</v>
      </c>
      <c r="P9" s="26">
        <v>90</v>
      </c>
      <c r="Q9" s="26">
        <f t="shared" si="3"/>
        <v>5077.64</v>
      </c>
      <c r="R9" s="34" t="s">
        <v>95</v>
      </c>
    </row>
    <row r="10" s="3" customFormat="1" ht="70" customHeight="1" spans="1:248">
      <c r="A10" s="33" t="s">
        <v>32</v>
      </c>
      <c r="B10" s="24">
        <v>21</v>
      </c>
      <c r="C10" s="25">
        <f>B10-E10</f>
        <v>20</v>
      </c>
      <c r="D10" s="25"/>
      <c r="E10" s="25">
        <v>1</v>
      </c>
      <c r="F10" s="25"/>
      <c r="G10" s="25"/>
      <c r="H10" s="26">
        <v>4500</v>
      </c>
      <c r="I10" s="26">
        <v>3500</v>
      </c>
      <c r="J10" s="26">
        <f t="shared" si="0"/>
        <v>7619.04761904762</v>
      </c>
      <c r="K10" s="26">
        <f t="shared" si="1"/>
        <v>0</v>
      </c>
      <c r="L10" s="26">
        <v>200</v>
      </c>
      <c r="M10" s="26">
        <f>200+(H10+I10)/B10*E10+(H10+I10)/B10*G10</f>
        <v>580.952380952381</v>
      </c>
      <c r="N10" s="27">
        <f t="shared" si="2"/>
        <v>529.96</v>
      </c>
      <c r="O10" s="26">
        <v>79.71</v>
      </c>
      <c r="P10" s="26">
        <v>213</v>
      </c>
      <c r="Q10" s="26">
        <f t="shared" si="3"/>
        <v>7577.33</v>
      </c>
      <c r="R10" s="34" t="s">
        <v>96</v>
      </c>
    </row>
    <row r="11" s="3" customFormat="1" ht="70" customHeight="1" spans="1:248">
      <c r="A11" s="33" t="s">
        <v>34</v>
      </c>
      <c r="B11" s="24">
        <v>21</v>
      </c>
      <c r="C11" s="25">
        <v>21</v>
      </c>
      <c r="D11" s="25"/>
      <c r="E11" s="25"/>
      <c r="F11" s="25"/>
      <c r="G11" s="25"/>
      <c r="H11" s="26">
        <v>5000</v>
      </c>
      <c r="I11" s="26">
        <v>5800</v>
      </c>
      <c r="J11" s="26">
        <f t="shared" si="0"/>
        <v>10800</v>
      </c>
      <c r="K11" s="26">
        <f t="shared" si="1"/>
        <v>0</v>
      </c>
      <c r="L11" s="26">
        <v>200</v>
      </c>
      <c r="M11" s="26">
        <f>200+(H11+I11)/B11*E11+(H11+I11)/B11*G11</f>
        <v>200</v>
      </c>
      <c r="N11" s="27">
        <f t="shared" si="2"/>
        <v>529.96</v>
      </c>
      <c r="O11" s="26">
        <v>73.71</v>
      </c>
      <c r="P11" s="26">
        <v>213</v>
      </c>
      <c r="Q11" s="26">
        <f t="shared" si="3"/>
        <v>10383.33</v>
      </c>
      <c r="R11" s="34" t="s">
        <v>97</v>
      </c>
    </row>
    <row r="12" s="3" customFormat="1" ht="70" customHeight="1" spans="1:248">
      <c r="A12" s="33" t="s">
        <v>36</v>
      </c>
      <c r="B12" s="24">
        <v>21</v>
      </c>
      <c r="C12" s="25">
        <v>21</v>
      </c>
      <c r="D12" s="25"/>
      <c r="E12" s="25"/>
      <c r="F12" s="25"/>
      <c r="G12" s="25"/>
      <c r="H12" s="26">
        <v>6000</v>
      </c>
      <c r="I12" s="26">
        <v>2800</v>
      </c>
      <c r="J12" s="26">
        <f t="shared" si="0"/>
        <v>8800</v>
      </c>
      <c r="K12" s="26">
        <f t="shared" si="1"/>
        <v>0</v>
      </c>
      <c r="L12" s="26">
        <v>200</v>
      </c>
      <c r="M12" s="26">
        <f>500+(H12+I12)/B12*E12</f>
        <v>500</v>
      </c>
      <c r="N12" s="27">
        <v>640</v>
      </c>
      <c r="O12" s="26">
        <v>94.2</v>
      </c>
      <c r="P12" s="26">
        <v>720</v>
      </c>
      <c r="Q12" s="26">
        <f t="shared" si="3"/>
        <v>8045.8</v>
      </c>
      <c r="R12" s="34" t="s">
        <v>98</v>
      </c>
    </row>
    <row r="13" s="3" customFormat="1" ht="70" customHeight="1" spans="1:248">
      <c r="A13" s="33" t="s">
        <v>38</v>
      </c>
      <c r="B13" s="24">
        <v>21</v>
      </c>
      <c r="C13" s="25">
        <v>21</v>
      </c>
      <c r="D13" s="25"/>
      <c r="E13" s="25"/>
      <c r="F13" s="25"/>
      <c r="G13" s="25"/>
      <c r="H13" s="26">
        <v>5300</v>
      </c>
      <c r="I13" s="26">
        <v>1500</v>
      </c>
      <c r="J13" s="26">
        <f t="shared" si="0"/>
        <v>6800</v>
      </c>
      <c r="K13" s="26">
        <f t="shared" si="1"/>
        <v>0</v>
      </c>
      <c r="L13" s="26">
        <v>200</v>
      </c>
      <c r="M13" s="26">
        <f>(H13+I13)/B13*E13</f>
        <v>0</v>
      </c>
      <c r="N13" s="27">
        <f>452.5+100+48.06</f>
        <v>600.56</v>
      </c>
      <c r="O13" s="26"/>
      <c r="P13" s="26">
        <f>156+8</f>
        <v>164</v>
      </c>
      <c r="Q13" s="26">
        <f t="shared" si="3"/>
        <v>6235.44</v>
      </c>
      <c r="R13" s="34" t="s">
        <v>99</v>
      </c>
      <c r="S13" s="35">
        <v>2391.5</v>
      </c>
      <c r="T13" s="3">
        <f>Q13-S13</f>
        <v>3843.94</v>
      </c>
    </row>
    <row r="14" s="3" customFormat="1" ht="70" customHeight="1" spans="1:248">
      <c r="A14" s="33" t="s">
        <v>40</v>
      </c>
      <c r="B14" s="24">
        <v>21</v>
      </c>
      <c r="C14" s="25">
        <f>B14-E14</f>
        <v>20</v>
      </c>
      <c r="D14" s="25"/>
      <c r="E14" s="25">
        <v>1</v>
      </c>
      <c r="F14" s="25"/>
      <c r="G14" s="25"/>
      <c r="H14" s="26">
        <v>4500</v>
      </c>
      <c r="I14" s="26">
        <v>800</v>
      </c>
      <c r="J14" s="26">
        <f t="shared" si="0"/>
        <v>5047.61904761905</v>
      </c>
      <c r="K14" s="26">
        <f t="shared" si="1"/>
        <v>0</v>
      </c>
      <c r="L14" s="26">
        <v>200</v>
      </c>
      <c r="M14" s="26">
        <f>(H14+I14)/B14*E14</f>
        <v>252.380952380952</v>
      </c>
      <c r="N14" s="27">
        <f>529.96</f>
        <v>529.96</v>
      </c>
      <c r="O14" s="26"/>
      <c r="P14" s="26">
        <v>213</v>
      </c>
      <c r="Q14" s="26">
        <f t="shared" si="3"/>
        <v>4757.04</v>
      </c>
      <c r="R14" s="34" t="s">
        <v>100</v>
      </c>
    </row>
    <row r="15" s="3" customFormat="1" ht="70" customHeight="1" spans="1:248">
      <c r="A15" s="33" t="s">
        <v>42</v>
      </c>
      <c r="B15" s="24">
        <v>21</v>
      </c>
      <c r="C15" s="25">
        <v>5</v>
      </c>
      <c r="D15" s="25"/>
      <c r="E15" s="25"/>
      <c r="F15" s="25"/>
      <c r="G15" s="25"/>
      <c r="H15" s="26">
        <v>4000</v>
      </c>
      <c r="I15" s="26">
        <v>0</v>
      </c>
      <c r="J15" s="26">
        <f t="shared" si="0"/>
        <v>952.380952380952</v>
      </c>
      <c r="K15" s="26">
        <f t="shared" si="1"/>
        <v>0</v>
      </c>
      <c r="L15" s="26">
        <v>0</v>
      </c>
      <c r="M15" s="26">
        <f>(H15+I15)/B15*E15</f>
        <v>0</v>
      </c>
      <c r="N15" s="27">
        <v>0</v>
      </c>
      <c r="O15" s="26"/>
      <c r="P15" s="26">
        <v>0</v>
      </c>
      <c r="Q15" s="26">
        <f t="shared" si="3"/>
        <v>952.380952380952</v>
      </c>
      <c r="R15" s="34" t="s">
        <v>101</v>
      </c>
    </row>
    <row r="16" s="2" customFormat="1" ht="18" customHeight="1" spans="1:248">
      <c r="C16" s="5"/>
      <c r="P16" s="36" t="s">
        <v>43</v>
      </c>
      <c r="Q16" s="37">
        <f>SUM(Q4:Q15)</f>
        <v>75757.5595238095</v>
      </c>
      <c r="R16" s="38"/>
    </row>
    <row r="17" s="2" customFormat="1" spans="17:17">
      <c r="Q17" s="39"/>
    </row>
    <row r="18" ht="14" customHeight="1"/>
  </sheetData>
  <conditionalFormatting sqref="A4:A5">
    <cfRule type="duplicateValues" dxfId="0" priority="4"/>
  </conditionalFormatting>
  <conditionalFormatting sqref="A7:A10">
    <cfRule type="duplicateValues" dxfId="0" priority="3"/>
  </conditionalFormatting>
  <conditionalFormatting sqref="A11:A12">
    <cfRule type="duplicateValues" dxfId="0" priority="2"/>
  </conditionalFormatting>
  <conditionalFormatting sqref="A13:A15">
    <cfRule type="duplicateValues" dxfId="0" priority="1"/>
  </conditionalFormatting>
  <pageMargins left="0.75" right="0.75" top="1" bottom="1" header="0.5" footer="0.5"/>
  <pageSetup paperSize="9" scale="57" orientation="portrait"/>
  <headerFooter/>
  <colBreaks count="1" manualBreakCount="1">
    <brk id="17" max="1048575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2026-05</vt:lpstr>
      <vt:lpstr>2026-04</vt:lpstr>
      <vt:lpstr>2026-03</vt:lpstr>
      <vt:lpstr>2026-02</vt:lpstr>
      <vt:lpstr>2026-01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dcterms:created xsi:type="dcterms:W3CDTF">2022-02-09T05:52:00Z</dcterms:created>
  <dcterms:modified xsi:type="dcterms:W3CDTF">2026-06-10T09:30:51Z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A35E27D165BB494E9ABA75AC7BD0D102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